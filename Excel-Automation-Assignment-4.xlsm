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rsh\Documents\Excel Sheet\"/>
    </mc:Choice>
  </mc:AlternateContent>
  <xr:revisionPtr revIDLastSave="0" documentId="13_ncr:1_{70ECA569-AD73-48EC-BB6F-DCE7C89DCEF6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Info" sheetId="4" r:id="rId1"/>
    <sheet name="DATA" sheetId="1" r:id="rId2"/>
    <sheet name="Macro" sheetId="11" r:id="rId3"/>
  </sheets>
  <definedNames>
    <definedName name="_xlnm._FilterDatabase" localSheetId="1" hidden="1">DATA!$A$3:$S$471</definedName>
    <definedName name="_xlnm.Criteria" localSheetId="2">Macro!$B$1:$B$2</definedName>
    <definedName name="_xlnm.Extract" localSheetId="2">Macro!$C$1:$U$1</definedName>
    <definedName name="States">OFFSET(DATA!XFD3,0,0,COUNTA(DATA!XFD:XFD),17)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P4" i="1"/>
  <c r="Q4" i="1"/>
  <c r="R4" i="1"/>
  <c r="S4" i="1"/>
  <c r="O5" i="1"/>
  <c r="P5" i="1"/>
  <c r="Q5" i="1"/>
  <c r="R5" i="1"/>
  <c r="S5" i="1"/>
  <c r="O6" i="1"/>
  <c r="P6" i="1"/>
  <c r="Q6" i="1"/>
  <c r="R6" i="1"/>
  <c r="S6" i="1"/>
  <c r="O7" i="1"/>
  <c r="P7" i="1"/>
  <c r="Q7" i="1"/>
  <c r="R7" i="1"/>
  <c r="S7" i="1"/>
  <c r="O8" i="1"/>
  <c r="P8" i="1"/>
  <c r="Q8" i="1"/>
  <c r="R8" i="1"/>
  <c r="S8" i="1"/>
  <c r="O9" i="1"/>
  <c r="P9" i="1"/>
  <c r="Q9" i="1"/>
  <c r="R9" i="1"/>
  <c r="S9" i="1"/>
  <c r="O10" i="1"/>
  <c r="P10" i="1"/>
  <c r="Q10" i="1"/>
  <c r="R10" i="1"/>
  <c r="S10" i="1"/>
  <c r="O11" i="1"/>
  <c r="P11" i="1"/>
  <c r="Q11" i="1"/>
  <c r="R11" i="1"/>
  <c r="S11" i="1"/>
  <c r="O12" i="1"/>
  <c r="P12" i="1"/>
  <c r="Q12" i="1"/>
  <c r="R12" i="1"/>
  <c r="S12" i="1"/>
  <c r="O13" i="1"/>
  <c r="P13" i="1"/>
  <c r="Q13" i="1"/>
  <c r="R13" i="1"/>
  <c r="S13" i="1"/>
  <c r="O14" i="1"/>
  <c r="P14" i="1"/>
  <c r="Q14" i="1"/>
  <c r="R14" i="1"/>
  <c r="S14" i="1"/>
  <c r="O15" i="1"/>
  <c r="P15" i="1"/>
  <c r="Q15" i="1"/>
  <c r="R15" i="1"/>
  <c r="S15" i="1"/>
  <c r="O16" i="1"/>
  <c r="P16" i="1"/>
  <c r="Q16" i="1"/>
  <c r="R16" i="1"/>
  <c r="S16" i="1"/>
  <c r="O17" i="1"/>
  <c r="P17" i="1"/>
  <c r="Q17" i="1"/>
  <c r="R17" i="1"/>
  <c r="S17" i="1"/>
  <c r="O18" i="1"/>
  <c r="P18" i="1"/>
  <c r="Q18" i="1"/>
  <c r="R18" i="1"/>
  <c r="S18" i="1"/>
  <c r="O19" i="1"/>
  <c r="P19" i="1"/>
  <c r="Q19" i="1"/>
  <c r="R19" i="1"/>
  <c r="S19" i="1"/>
  <c r="O20" i="1"/>
  <c r="P20" i="1"/>
  <c r="Q20" i="1"/>
  <c r="R20" i="1"/>
  <c r="S20" i="1"/>
  <c r="O21" i="1"/>
  <c r="P21" i="1"/>
  <c r="Q21" i="1"/>
  <c r="R21" i="1"/>
  <c r="S21" i="1"/>
  <c r="O22" i="1"/>
  <c r="P22" i="1"/>
  <c r="Q22" i="1"/>
  <c r="R22" i="1"/>
  <c r="S22" i="1"/>
  <c r="O23" i="1"/>
  <c r="P23" i="1"/>
  <c r="Q23" i="1"/>
  <c r="R23" i="1"/>
  <c r="S23" i="1"/>
  <c r="O24" i="1"/>
  <c r="P24" i="1"/>
  <c r="Q24" i="1"/>
  <c r="R24" i="1"/>
  <c r="S24" i="1"/>
  <c r="O25" i="1"/>
  <c r="P25" i="1"/>
  <c r="Q25" i="1"/>
  <c r="R25" i="1"/>
  <c r="S25" i="1"/>
  <c r="O26" i="1"/>
  <c r="P26" i="1"/>
  <c r="Q26" i="1"/>
  <c r="R26" i="1"/>
  <c r="S26" i="1"/>
  <c r="O27" i="1"/>
  <c r="P27" i="1"/>
  <c r="Q27" i="1"/>
  <c r="R27" i="1"/>
  <c r="S27" i="1"/>
  <c r="O28" i="1"/>
  <c r="P28" i="1"/>
  <c r="Q28" i="1"/>
  <c r="R28" i="1"/>
  <c r="S28" i="1"/>
  <c r="O29" i="1"/>
  <c r="P29" i="1"/>
  <c r="Q29" i="1"/>
  <c r="R29" i="1"/>
  <c r="S29" i="1"/>
  <c r="O30" i="1"/>
  <c r="P30" i="1"/>
  <c r="Q30" i="1"/>
  <c r="R30" i="1"/>
  <c r="S30" i="1"/>
  <c r="O31" i="1"/>
  <c r="P31" i="1"/>
  <c r="Q31" i="1"/>
  <c r="R31" i="1"/>
  <c r="S31" i="1"/>
  <c r="O32" i="1"/>
  <c r="P32" i="1"/>
  <c r="Q32" i="1"/>
  <c r="R32" i="1"/>
  <c r="S32" i="1"/>
  <c r="O33" i="1"/>
  <c r="P33" i="1"/>
  <c r="Q33" i="1"/>
  <c r="R33" i="1"/>
  <c r="S33" i="1"/>
  <c r="O34" i="1"/>
  <c r="P34" i="1"/>
  <c r="Q34" i="1"/>
  <c r="R34" i="1"/>
  <c r="S34" i="1"/>
  <c r="O35" i="1"/>
  <c r="P35" i="1"/>
  <c r="Q35" i="1"/>
  <c r="R35" i="1"/>
  <c r="S35" i="1"/>
  <c r="O36" i="1"/>
  <c r="P36" i="1"/>
  <c r="Q36" i="1"/>
  <c r="R36" i="1"/>
  <c r="S36" i="1"/>
  <c r="O37" i="1"/>
  <c r="P37" i="1"/>
  <c r="Q37" i="1"/>
  <c r="R37" i="1"/>
  <c r="S37" i="1"/>
  <c r="O38" i="1"/>
  <c r="P38" i="1"/>
  <c r="Q38" i="1"/>
  <c r="R38" i="1"/>
  <c r="S38" i="1"/>
  <c r="O39" i="1"/>
  <c r="P39" i="1"/>
  <c r="Q39" i="1"/>
  <c r="R39" i="1"/>
  <c r="S39" i="1"/>
  <c r="O40" i="1"/>
  <c r="P40" i="1"/>
  <c r="Q40" i="1"/>
  <c r="R40" i="1"/>
  <c r="S40" i="1"/>
  <c r="O41" i="1"/>
  <c r="P41" i="1"/>
  <c r="Q41" i="1"/>
  <c r="R41" i="1"/>
  <c r="S41" i="1"/>
  <c r="O42" i="1"/>
  <c r="P42" i="1"/>
  <c r="Q42" i="1"/>
  <c r="R42" i="1"/>
  <c r="S42" i="1"/>
  <c r="O43" i="1"/>
  <c r="P43" i="1"/>
  <c r="Q43" i="1"/>
  <c r="R43" i="1"/>
  <c r="S43" i="1"/>
  <c r="O44" i="1"/>
  <c r="P44" i="1"/>
  <c r="Q44" i="1"/>
  <c r="R44" i="1"/>
  <c r="S44" i="1"/>
  <c r="O45" i="1"/>
  <c r="P45" i="1"/>
  <c r="Q45" i="1"/>
  <c r="R45" i="1"/>
  <c r="S45" i="1"/>
  <c r="O46" i="1"/>
  <c r="P46" i="1"/>
  <c r="Q46" i="1"/>
  <c r="R46" i="1"/>
  <c r="S46" i="1"/>
  <c r="O47" i="1"/>
  <c r="P47" i="1"/>
  <c r="Q47" i="1"/>
  <c r="R47" i="1"/>
  <c r="S47" i="1"/>
  <c r="O48" i="1"/>
  <c r="P48" i="1"/>
  <c r="Q48" i="1"/>
  <c r="R48" i="1"/>
  <c r="S48" i="1"/>
  <c r="O49" i="1"/>
  <c r="P49" i="1"/>
  <c r="Q49" i="1"/>
  <c r="R49" i="1"/>
  <c r="S49" i="1"/>
  <c r="O50" i="1"/>
  <c r="P50" i="1"/>
  <c r="Q50" i="1"/>
  <c r="R50" i="1"/>
  <c r="S50" i="1"/>
  <c r="O51" i="1"/>
  <c r="P51" i="1"/>
  <c r="Q51" i="1"/>
  <c r="R51" i="1"/>
  <c r="S51" i="1"/>
  <c r="O52" i="1"/>
  <c r="P52" i="1"/>
  <c r="Q52" i="1"/>
  <c r="R52" i="1"/>
  <c r="S52" i="1"/>
  <c r="O53" i="1"/>
  <c r="P53" i="1"/>
  <c r="Q53" i="1"/>
  <c r="R53" i="1"/>
  <c r="S53" i="1"/>
  <c r="O54" i="1"/>
  <c r="P54" i="1"/>
  <c r="Q54" i="1"/>
  <c r="R54" i="1"/>
  <c r="S54" i="1"/>
  <c r="O55" i="1"/>
  <c r="P55" i="1"/>
  <c r="Q55" i="1"/>
  <c r="R55" i="1"/>
  <c r="S55" i="1"/>
  <c r="O56" i="1"/>
  <c r="P56" i="1"/>
  <c r="Q56" i="1"/>
  <c r="R56" i="1"/>
  <c r="S56" i="1"/>
  <c r="O57" i="1"/>
  <c r="P57" i="1"/>
  <c r="Q57" i="1"/>
  <c r="R57" i="1"/>
  <c r="S57" i="1"/>
  <c r="O58" i="1"/>
  <c r="P58" i="1"/>
  <c r="Q58" i="1"/>
  <c r="R58" i="1"/>
  <c r="S58" i="1"/>
  <c r="O59" i="1"/>
  <c r="P59" i="1"/>
  <c r="Q59" i="1"/>
  <c r="R59" i="1"/>
  <c r="S59" i="1"/>
  <c r="O60" i="1"/>
  <c r="P60" i="1"/>
  <c r="Q60" i="1"/>
  <c r="R60" i="1"/>
  <c r="S60" i="1"/>
  <c r="O61" i="1"/>
  <c r="P61" i="1"/>
  <c r="Q61" i="1"/>
  <c r="R61" i="1"/>
  <c r="S61" i="1"/>
  <c r="O62" i="1"/>
  <c r="P62" i="1"/>
  <c r="Q62" i="1"/>
  <c r="R62" i="1"/>
  <c r="S62" i="1"/>
  <c r="O63" i="1"/>
  <c r="P63" i="1"/>
  <c r="Q63" i="1"/>
  <c r="R63" i="1"/>
  <c r="S63" i="1"/>
  <c r="O64" i="1"/>
  <c r="P64" i="1"/>
  <c r="Q64" i="1"/>
  <c r="R64" i="1"/>
  <c r="S64" i="1"/>
  <c r="O65" i="1"/>
  <c r="P65" i="1"/>
  <c r="Q65" i="1"/>
  <c r="R65" i="1"/>
  <c r="S65" i="1"/>
  <c r="O66" i="1"/>
  <c r="P66" i="1"/>
  <c r="Q66" i="1"/>
  <c r="R66" i="1"/>
  <c r="S66" i="1"/>
  <c r="O67" i="1"/>
  <c r="P67" i="1"/>
  <c r="Q67" i="1"/>
  <c r="R67" i="1"/>
  <c r="S67" i="1"/>
  <c r="O68" i="1"/>
  <c r="P68" i="1"/>
  <c r="Q68" i="1"/>
  <c r="R68" i="1"/>
  <c r="S68" i="1"/>
  <c r="O69" i="1"/>
  <c r="P69" i="1"/>
  <c r="Q69" i="1"/>
  <c r="R69" i="1"/>
  <c r="S69" i="1"/>
  <c r="O70" i="1"/>
  <c r="P70" i="1"/>
  <c r="Q70" i="1"/>
  <c r="R70" i="1"/>
  <c r="S70" i="1"/>
  <c r="O71" i="1"/>
  <c r="P71" i="1"/>
  <c r="Q71" i="1"/>
  <c r="R71" i="1"/>
  <c r="S71" i="1"/>
  <c r="O72" i="1"/>
  <c r="P72" i="1"/>
  <c r="Q72" i="1"/>
  <c r="R72" i="1"/>
  <c r="S72" i="1"/>
  <c r="O73" i="1"/>
  <c r="P73" i="1"/>
  <c r="Q73" i="1"/>
  <c r="R73" i="1"/>
  <c r="S73" i="1"/>
  <c r="O74" i="1"/>
  <c r="P74" i="1"/>
  <c r="Q74" i="1"/>
  <c r="R74" i="1"/>
  <c r="S74" i="1"/>
  <c r="O75" i="1"/>
  <c r="P75" i="1"/>
  <c r="Q75" i="1"/>
  <c r="R75" i="1"/>
  <c r="S75" i="1"/>
  <c r="O76" i="1"/>
  <c r="P76" i="1"/>
  <c r="Q76" i="1"/>
  <c r="R76" i="1"/>
  <c r="S76" i="1"/>
  <c r="O77" i="1"/>
  <c r="P77" i="1"/>
  <c r="Q77" i="1"/>
  <c r="R77" i="1"/>
  <c r="S77" i="1"/>
  <c r="O78" i="1"/>
  <c r="P78" i="1"/>
  <c r="Q78" i="1"/>
  <c r="R78" i="1"/>
  <c r="S78" i="1"/>
  <c r="O79" i="1"/>
  <c r="P79" i="1"/>
  <c r="Q79" i="1"/>
  <c r="R79" i="1"/>
  <c r="S79" i="1"/>
  <c r="O80" i="1"/>
  <c r="P80" i="1"/>
  <c r="Q80" i="1"/>
  <c r="R80" i="1"/>
  <c r="S80" i="1"/>
  <c r="O81" i="1"/>
  <c r="P81" i="1"/>
  <c r="Q81" i="1"/>
  <c r="R81" i="1"/>
  <c r="S81" i="1"/>
  <c r="O82" i="1"/>
  <c r="P82" i="1"/>
  <c r="Q82" i="1"/>
  <c r="R82" i="1"/>
  <c r="S82" i="1"/>
  <c r="O83" i="1"/>
  <c r="P83" i="1"/>
  <c r="Q83" i="1"/>
  <c r="R83" i="1"/>
  <c r="S83" i="1"/>
  <c r="O84" i="1"/>
  <c r="P84" i="1"/>
  <c r="Q84" i="1"/>
  <c r="R84" i="1"/>
  <c r="S84" i="1"/>
  <c r="O85" i="1"/>
  <c r="P85" i="1"/>
  <c r="Q85" i="1"/>
  <c r="R85" i="1"/>
  <c r="S85" i="1"/>
  <c r="O86" i="1"/>
  <c r="P86" i="1"/>
  <c r="Q86" i="1"/>
  <c r="R86" i="1"/>
  <c r="S86" i="1"/>
  <c r="O87" i="1"/>
  <c r="P87" i="1"/>
  <c r="Q87" i="1"/>
  <c r="R87" i="1"/>
  <c r="S87" i="1"/>
  <c r="O88" i="1"/>
  <c r="P88" i="1"/>
  <c r="Q88" i="1"/>
  <c r="R88" i="1"/>
  <c r="S88" i="1"/>
  <c r="O89" i="1"/>
  <c r="P89" i="1"/>
  <c r="Q89" i="1"/>
  <c r="R89" i="1"/>
  <c r="S89" i="1"/>
  <c r="O90" i="1"/>
  <c r="P90" i="1"/>
  <c r="Q90" i="1"/>
  <c r="R90" i="1"/>
  <c r="S90" i="1"/>
  <c r="O91" i="1"/>
  <c r="P91" i="1"/>
  <c r="Q91" i="1"/>
  <c r="R91" i="1"/>
  <c r="S91" i="1"/>
  <c r="O92" i="1"/>
  <c r="P92" i="1"/>
  <c r="Q92" i="1"/>
  <c r="R92" i="1"/>
  <c r="S92" i="1"/>
  <c r="O93" i="1"/>
  <c r="P93" i="1"/>
  <c r="Q93" i="1"/>
  <c r="R93" i="1"/>
  <c r="S93" i="1"/>
  <c r="O94" i="1"/>
  <c r="P94" i="1"/>
  <c r="Q94" i="1"/>
  <c r="R94" i="1"/>
  <c r="S94" i="1"/>
  <c r="O95" i="1"/>
  <c r="P95" i="1"/>
  <c r="Q95" i="1"/>
  <c r="R95" i="1"/>
  <c r="S95" i="1"/>
  <c r="O96" i="1"/>
  <c r="P96" i="1"/>
  <c r="Q96" i="1"/>
  <c r="R96" i="1"/>
  <c r="S96" i="1"/>
  <c r="O97" i="1"/>
  <c r="P97" i="1"/>
  <c r="Q97" i="1"/>
  <c r="R97" i="1"/>
  <c r="S97" i="1"/>
  <c r="O98" i="1"/>
  <c r="P98" i="1"/>
  <c r="Q98" i="1"/>
  <c r="R98" i="1"/>
  <c r="S98" i="1"/>
  <c r="O99" i="1"/>
  <c r="P99" i="1"/>
  <c r="Q99" i="1"/>
  <c r="R99" i="1"/>
  <c r="S99" i="1"/>
  <c r="O100" i="1"/>
  <c r="P100" i="1"/>
  <c r="Q100" i="1"/>
  <c r="R100" i="1"/>
  <c r="S100" i="1"/>
  <c r="O101" i="1"/>
  <c r="P101" i="1"/>
  <c r="Q101" i="1"/>
  <c r="R101" i="1"/>
  <c r="S101" i="1"/>
  <c r="O102" i="1"/>
  <c r="P102" i="1"/>
  <c r="Q102" i="1"/>
  <c r="R102" i="1"/>
  <c r="S102" i="1"/>
  <c r="O103" i="1"/>
  <c r="P103" i="1"/>
  <c r="Q103" i="1"/>
  <c r="R103" i="1"/>
  <c r="S103" i="1"/>
  <c r="O104" i="1"/>
  <c r="P104" i="1"/>
  <c r="Q104" i="1"/>
  <c r="R104" i="1"/>
  <c r="S104" i="1"/>
  <c r="O105" i="1"/>
  <c r="P105" i="1"/>
  <c r="Q105" i="1"/>
  <c r="R105" i="1"/>
  <c r="S105" i="1"/>
  <c r="O106" i="1"/>
  <c r="P106" i="1"/>
  <c r="Q106" i="1"/>
  <c r="R106" i="1"/>
  <c r="S106" i="1"/>
  <c r="O107" i="1"/>
  <c r="P107" i="1"/>
  <c r="Q107" i="1"/>
  <c r="R107" i="1"/>
  <c r="S107" i="1"/>
  <c r="O108" i="1"/>
  <c r="P108" i="1"/>
  <c r="Q108" i="1"/>
  <c r="R108" i="1"/>
  <c r="S108" i="1"/>
  <c r="O109" i="1"/>
  <c r="P109" i="1"/>
  <c r="Q109" i="1"/>
  <c r="R109" i="1"/>
  <c r="S109" i="1"/>
  <c r="O110" i="1"/>
  <c r="P110" i="1"/>
  <c r="Q110" i="1"/>
  <c r="R110" i="1"/>
  <c r="S110" i="1"/>
  <c r="O111" i="1"/>
  <c r="P111" i="1"/>
  <c r="Q111" i="1"/>
  <c r="R111" i="1"/>
  <c r="S111" i="1"/>
  <c r="O112" i="1"/>
  <c r="P112" i="1"/>
  <c r="Q112" i="1"/>
  <c r="R112" i="1"/>
  <c r="S112" i="1"/>
  <c r="O113" i="1"/>
  <c r="P113" i="1"/>
  <c r="Q113" i="1"/>
  <c r="R113" i="1"/>
  <c r="S113" i="1"/>
  <c r="O114" i="1"/>
  <c r="P114" i="1"/>
  <c r="Q114" i="1"/>
  <c r="R114" i="1"/>
  <c r="S114" i="1"/>
  <c r="O115" i="1"/>
  <c r="P115" i="1"/>
  <c r="Q115" i="1"/>
  <c r="R115" i="1"/>
  <c r="S115" i="1"/>
  <c r="O116" i="1"/>
  <c r="P116" i="1"/>
  <c r="Q116" i="1"/>
  <c r="R116" i="1"/>
  <c r="S116" i="1"/>
  <c r="O117" i="1"/>
  <c r="P117" i="1"/>
  <c r="Q117" i="1"/>
  <c r="R117" i="1"/>
  <c r="S117" i="1"/>
  <c r="O118" i="1"/>
  <c r="P118" i="1"/>
  <c r="Q118" i="1"/>
  <c r="R118" i="1"/>
  <c r="S118" i="1"/>
  <c r="O119" i="1"/>
  <c r="P119" i="1"/>
  <c r="Q119" i="1"/>
  <c r="R119" i="1"/>
  <c r="S119" i="1"/>
  <c r="O120" i="1"/>
  <c r="P120" i="1"/>
  <c r="Q120" i="1"/>
  <c r="R120" i="1"/>
  <c r="S120" i="1"/>
  <c r="O121" i="1"/>
  <c r="P121" i="1"/>
  <c r="Q121" i="1"/>
  <c r="R121" i="1"/>
  <c r="S121" i="1"/>
  <c r="O122" i="1"/>
  <c r="P122" i="1"/>
  <c r="Q122" i="1"/>
  <c r="R122" i="1"/>
  <c r="S122" i="1"/>
  <c r="O123" i="1"/>
  <c r="P123" i="1"/>
  <c r="Q123" i="1"/>
  <c r="R123" i="1"/>
  <c r="S123" i="1"/>
  <c r="O124" i="1"/>
  <c r="P124" i="1"/>
  <c r="Q124" i="1"/>
  <c r="R124" i="1"/>
  <c r="S124" i="1"/>
  <c r="O125" i="1"/>
  <c r="P125" i="1"/>
  <c r="Q125" i="1"/>
  <c r="R125" i="1"/>
  <c r="S125" i="1"/>
  <c r="O126" i="1"/>
  <c r="P126" i="1"/>
  <c r="Q126" i="1"/>
  <c r="R126" i="1"/>
  <c r="S126" i="1"/>
  <c r="O127" i="1"/>
  <c r="P127" i="1"/>
  <c r="Q127" i="1"/>
  <c r="R127" i="1"/>
  <c r="S127" i="1"/>
  <c r="O128" i="1"/>
  <c r="P128" i="1"/>
  <c r="Q128" i="1"/>
  <c r="R128" i="1"/>
  <c r="S128" i="1"/>
  <c r="O129" i="1"/>
  <c r="P129" i="1"/>
  <c r="Q129" i="1"/>
  <c r="R129" i="1"/>
  <c r="S129" i="1"/>
  <c r="O130" i="1"/>
  <c r="P130" i="1"/>
  <c r="Q130" i="1"/>
  <c r="R130" i="1"/>
  <c r="S130" i="1"/>
  <c r="O131" i="1"/>
  <c r="P131" i="1"/>
  <c r="Q131" i="1"/>
  <c r="R131" i="1"/>
  <c r="S131" i="1"/>
  <c r="O132" i="1"/>
  <c r="P132" i="1"/>
  <c r="Q132" i="1"/>
  <c r="R132" i="1"/>
  <c r="S132" i="1"/>
  <c r="O133" i="1"/>
  <c r="P133" i="1"/>
  <c r="Q133" i="1"/>
  <c r="R133" i="1"/>
  <c r="S133" i="1"/>
  <c r="O134" i="1"/>
  <c r="P134" i="1"/>
  <c r="Q134" i="1"/>
  <c r="R134" i="1"/>
  <c r="S134" i="1"/>
  <c r="O135" i="1"/>
  <c r="P135" i="1"/>
  <c r="Q135" i="1"/>
  <c r="R135" i="1"/>
  <c r="S135" i="1"/>
  <c r="O136" i="1"/>
  <c r="P136" i="1"/>
  <c r="Q136" i="1"/>
  <c r="R136" i="1"/>
  <c r="S136" i="1"/>
  <c r="O137" i="1"/>
  <c r="P137" i="1"/>
  <c r="Q137" i="1"/>
  <c r="R137" i="1"/>
  <c r="S137" i="1"/>
  <c r="O138" i="1"/>
  <c r="P138" i="1"/>
  <c r="Q138" i="1"/>
  <c r="R138" i="1"/>
  <c r="S138" i="1"/>
  <c r="O139" i="1"/>
  <c r="P139" i="1"/>
  <c r="Q139" i="1"/>
  <c r="R139" i="1"/>
  <c r="S139" i="1"/>
  <c r="O140" i="1"/>
  <c r="P140" i="1"/>
  <c r="Q140" i="1"/>
  <c r="R140" i="1"/>
  <c r="S140" i="1"/>
  <c r="O141" i="1"/>
  <c r="P141" i="1"/>
  <c r="Q141" i="1"/>
  <c r="R141" i="1"/>
  <c r="S141" i="1"/>
  <c r="O142" i="1"/>
  <c r="P142" i="1"/>
  <c r="Q142" i="1"/>
  <c r="R142" i="1"/>
  <c r="S142" i="1"/>
  <c r="O143" i="1"/>
  <c r="P143" i="1"/>
  <c r="Q143" i="1"/>
  <c r="R143" i="1"/>
  <c r="S143" i="1"/>
  <c r="O144" i="1"/>
  <c r="P144" i="1"/>
  <c r="Q144" i="1"/>
  <c r="R144" i="1"/>
  <c r="S144" i="1"/>
  <c r="O145" i="1"/>
  <c r="P145" i="1"/>
  <c r="Q145" i="1"/>
  <c r="R145" i="1"/>
  <c r="S145" i="1"/>
  <c r="O146" i="1"/>
  <c r="P146" i="1"/>
  <c r="Q146" i="1"/>
  <c r="R146" i="1"/>
  <c r="S146" i="1"/>
  <c r="O147" i="1"/>
  <c r="P147" i="1"/>
  <c r="Q147" i="1"/>
  <c r="R147" i="1"/>
  <c r="S147" i="1"/>
  <c r="O148" i="1"/>
  <c r="P148" i="1"/>
  <c r="Q148" i="1"/>
  <c r="R148" i="1"/>
  <c r="S148" i="1"/>
  <c r="O149" i="1"/>
  <c r="P149" i="1"/>
  <c r="Q149" i="1"/>
  <c r="R149" i="1"/>
  <c r="S149" i="1"/>
  <c r="O150" i="1"/>
  <c r="P150" i="1"/>
  <c r="Q150" i="1"/>
  <c r="R150" i="1"/>
  <c r="S150" i="1"/>
  <c r="O151" i="1"/>
  <c r="P151" i="1"/>
  <c r="Q151" i="1"/>
  <c r="R151" i="1"/>
  <c r="S151" i="1"/>
  <c r="O152" i="1"/>
  <c r="P152" i="1"/>
  <c r="Q152" i="1"/>
  <c r="R152" i="1"/>
  <c r="S152" i="1"/>
  <c r="O153" i="1"/>
  <c r="P153" i="1"/>
  <c r="Q153" i="1"/>
  <c r="R153" i="1"/>
  <c r="S153" i="1"/>
  <c r="O154" i="1"/>
  <c r="P154" i="1"/>
  <c r="Q154" i="1"/>
  <c r="R154" i="1"/>
  <c r="S154" i="1"/>
  <c r="O155" i="1"/>
  <c r="P155" i="1"/>
  <c r="Q155" i="1"/>
  <c r="R155" i="1"/>
  <c r="S155" i="1"/>
  <c r="O156" i="1"/>
  <c r="P156" i="1"/>
  <c r="Q156" i="1"/>
  <c r="R156" i="1"/>
  <c r="S156" i="1"/>
  <c r="O157" i="1"/>
  <c r="P157" i="1"/>
  <c r="Q157" i="1"/>
  <c r="R157" i="1"/>
  <c r="S157" i="1"/>
  <c r="O158" i="1"/>
  <c r="P158" i="1"/>
  <c r="Q158" i="1"/>
  <c r="R158" i="1"/>
  <c r="S158" i="1"/>
  <c r="O159" i="1"/>
  <c r="P159" i="1"/>
  <c r="Q159" i="1"/>
  <c r="R159" i="1"/>
  <c r="S159" i="1"/>
  <c r="O160" i="1"/>
  <c r="P160" i="1"/>
  <c r="Q160" i="1"/>
  <c r="R160" i="1"/>
  <c r="S160" i="1"/>
  <c r="O161" i="1"/>
  <c r="P161" i="1"/>
  <c r="Q161" i="1"/>
  <c r="R161" i="1"/>
  <c r="S161" i="1"/>
  <c r="O162" i="1"/>
  <c r="P162" i="1"/>
  <c r="Q162" i="1"/>
  <c r="R162" i="1"/>
  <c r="S162" i="1"/>
  <c r="O163" i="1"/>
  <c r="P163" i="1"/>
  <c r="Q163" i="1"/>
  <c r="R163" i="1"/>
  <c r="S163" i="1"/>
  <c r="O164" i="1"/>
  <c r="P164" i="1"/>
  <c r="Q164" i="1"/>
  <c r="R164" i="1"/>
  <c r="S164" i="1"/>
  <c r="O165" i="1"/>
  <c r="P165" i="1"/>
  <c r="Q165" i="1"/>
  <c r="R165" i="1"/>
  <c r="S165" i="1"/>
  <c r="O166" i="1"/>
  <c r="P166" i="1"/>
  <c r="Q166" i="1"/>
  <c r="R166" i="1"/>
  <c r="S166" i="1"/>
  <c r="O167" i="1"/>
  <c r="P167" i="1"/>
  <c r="Q167" i="1"/>
  <c r="R167" i="1"/>
  <c r="S167" i="1"/>
  <c r="O168" i="1"/>
  <c r="P168" i="1"/>
  <c r="Q168" i="1"/>
  <c r="R168" i="1"/>
  <c r="S168" i="1"/>
  <c r="O169" i="1"/>
  <c r="P169" i="1"/>
  <c r="Q169" i="1"/>
  <c r="R169" i="1"/>
  <c r="S169" i="1"/>
  <c r="O170" i="1"/>
  <c r="P170" i="1"/>
  <c r="Q170" i="1"/>
  <c r="R170" i="1"/>
  <c r="S170" i="1"/>
  <c r="O171" i="1"/>
  <c r="P171" i="1"/>
  <c r="Q171" i="1"/>
  <c r="R171" i="1"/>
  <c r="S171" i="1"/>
  <c r="O172" i="1"/>
  <c r="P172" i="1"/>
  <c r="Q172" i="1"/>
  <c r="R172" i="1"/>
  <c r="S172" i="1"/>
  <c r="O173" i="1"/>
  <c r="P173" i="1"/>
  <c r="Q173" i="1"/>
  <c r="R173" i="1"/>
  <c r="S173" i="1"/>
  <c r="O174" i="1"/>
  <c r="P174" i="1"/>
  <c r="Q174" i="1"/>
  <c r="R174" i="1"/>
  <c r="S174" i="1"/>
  <c r="O175" i="1"/>
  <c r="P175" i="1"/>
  <c r="Q175" i="1"/>
  <c r="R175" i="1"/>
  <c r="S175" i="1"/>
  <c r="O176" i="1"/>
  <c r="P176" i="1"/>
  <c r="Q176" i="1"/>
  <c r="R176" i="1"/>
  <c r="S176" i="1"/>
  <c r="O177" i="1"/>
  <c r="P177" i="1"/>
  <c r="Q177" i="1"/>
  <c r="R177" i="1"/>
  <c r="S177" i="1"/>
  <c r="O178" i="1"/>
  <c r="P178" i="1"/>
  <c r="Q178" i="1"/>
  <c r="R178" i="1"/>
  <c r="S178" i="1"/>
  <c r="O179" i="1"/>
  <c r="P179" i="1"/>
  <c r="Q179" i="1"/>
  <c r="R179" i="1"/>
  <c r="S179" i="1"/>
  <c r="O180" i="1"/>
  <c r="P180" i="1"/>
  <c r="Q180" i="1"/>
  <c r="R180" i="1"/>
  <c r="S180" i="1"/>
  <c r="O181" i="1"/>
  <c r="P181" i="1"/>
  <c r="Q181" i="1"/>
  <c r="R181" i="1"/>
  <c r="S181" i="1"/>
  <c r="O182" i="1"/>
  <c r="P182" i="1"/>
  <c r="Q182" i="1"/>
  <c r="R182" i="1"/>
  <c r="S182" i="1"/>
  <c r="O183" i="1"/>
  <c r="P183" i="1"/>
  <c r="Q183" i="1"/>
  <c r="R183" i="1"/>
  <c r="S183" i="1"/>
  <c r="O184" i="1"/>
  <c r="P184" i="1"/>
  <c r="Q184" i="1"/>
  <c r="R184" i="1"/>
  <c r="S184" i="1"/>
  <c r="O185" i="1"/>
  <c r="P185" i="1"/>
  <c r="Q185" i="1"/>
  <c r="R185" i="1"/>
  <c r="S185" i="1"/>
  <c r="O186" i="1"/>
  <c r="P186" i="1"/>
  <c r="Q186" i="1"/>
  <c r="R186" i="1"/>
  <c r="S186" i="1"/>
  <c r="O187" i="1"/>
  <c r="P187" i="1"/>
  <c r="Q187" i="1"/>
  <c r="R187" i="1"/>
  <c r="S187" i="1"/>
  <c r="O188" i="1"/>
  <c r="P188" i="1"/>
  <c r="Q188" i="1"/>
  <c r="R188" i="1"/>
  <c r="S188" i="1"/>
  <c r="O189" i="1"/>
  <c r="P189" i="1"/>
  <c r="Q189" i="1"/>
  <c r="R189" i="1"/>
  <c r="S189" i="1"/>
  <c r="O190" i="1"/>
  <c r="P190" i="1"/>
  <c r="Q190" i="1"/>
  <c r="R190" i="1"/>
  <c r="S190" i="1"/>
  <c r="O191" i="1"/>
  <c r="P191" i="1"/>
  <c r="Q191" i="1"/>
  <c r="R191" i="1"/>
  <c r="S191" i="1"/>
  <c r="O192" i="1"/>
  <c r="P192" i="1"/>
  <c r="Q192" i="1"/>
  <c r="R192" i="1"/>
  <c r="S192" i="1"/>
  <c r="O193" i="1"/>
  <c r="P193" i="1"/>
  <c r="Q193" i="1"/>
  <c r="R193" i="1"/>
  <c r="S193" i="1"/>
  <c r="O194" i="1"/>
  <c r="P194" i="1"/>
  <c r="Q194" i="1"/>
  <c r="R194" i="1"/>
  <c r="S194" i="1"/>
  <c r="O195" i="1"/>
  <c r="P195" i="1"/>
  <c r="Q195" i="1"/>
  <c r="R195" i="1"/>
  <c r="S195" i="1"/>
  <c r="O196" i="1"/>
  <c r="P196" i="1"/>
  <c r="Q196" i="1"/>
  <c r="R196" i="1"/>
  <c r="S196" i="1"/>
  <c r="O197" i="1"/>
  <c r="P197" i="1"/>
  <c r="Q197" i="1"/>
  <c r="R197" i="1"/>
  <c r="S197" i="1"/>
  <c r="O198" i="1"/>
  <c r="P198" i="1"/>
  <c r="Q198" i="1"/>
  <c r="R198" i="1"/>
  <c r="S198" i="1"/>
  <c r="O199" i="1"/>
  <c r="P199" i="1"/>
  <c r="Q199" i="1"/>
  <c r="R199" i="1"/>
  <c r="S199" i="1"/>
  <c r="O200" i="1"/>
  <c r="P200" i="1"/>
  <c r="Q200" i="1"/>
  <c r="R200" i="1"/>
  <c r="S200" i="1"/>
  <c r="O201" i="1"/>
  <c r="P201" i="1"/>
  <c r="Q201" i="1"/>
  <c r="R201" i="1"/>
  <c r="S201" i="1"/>
  <c r="O202" i="1"/>
  <c r="P202" i="1"/>
  <c r="Q202" i="1"/>
  <c r="R202" i="1"/>
  <c r="S202" i="1"/>
  <c r="O203" i="1"/>
  <c r="P203" i="1"/>
  <c r="Q203" i="1"/>
  <c r="R203" i="1"/>
  <c r="S203" i="1"/>
  <c r="O204" i="1"/>
  <c r="P204" i="1"/>
  <c r="Q204" i="1"/>
  <c r="R204" i="1"/>
  <c r="S204" i="1"/>
  <c r="O205" i="1"/>
  <c r="P205" i="1"/>
  <c r="Q205" i="1"/>
  <c r="R205" i="1"/>
  <c r="S205" i="1"/>
  <c r="O206" i="1"/>
  <c r="P206" i="1"/>
  <c r="Q206" i="1"/>
  <c r="R206" i="1"/>
  <c r="S206" i="1"/>
  <c r="O207" i="1"/>
  <c r="P207" i="1"/>
  <c r="Q207" i="1"/>
  <c r="R207" i="1"/>
  <c r="S207" i="1"/>
  <c r="O208" i="1"/>
  <c r="P208" i="1"/>
  <c r="Q208" i="1"/>
  <c r="R208" i="1"/>
  <c r="S208" i="1"/>
  <c r="O209" i="1"/>
  <c r="P209" i="1"/>
  <c r="Q209" i="1"/>
  <c r="R209" i="1"/>
  <c r="S209" i="1"/>
  <c r="O210" i="1"/>
  <c r="P210" i="1"/>
  <c r="Q210" i="1"/>
  <c r="R210" i="1"/>
  <c r="S210" i="1"/>
  <c r="O211" i="1"/>
  <c r="P211" i="1"/>
  <c r="Q211" i="1"/>
  <c r="R211" i="1"/>
  <c r="S211" i="1"/>
  <c r="O212" i="1"/>
  <c r="P212" i="1"/>
  <c r="Q212" i="1"/>
  <c r="R212" i="1"/>
  <c r="S212" i="1"/>
  <c r="O213" i="1"/>
  <c r="P213" i="1"/>
  <c r="Q213" i="1"/>
  <c r="R213" i="1"/>
  <c r="S213" i="1"/>
  <c r="O214" i="1"/>
  <c r="P214" i="1"/>
  <c r="Q214" i="1"/>
  <c r="R214" i="1"/>
  <c r="S214" i="1"/>
  <c r="O215" i="1"/>
  <c r="P215" i="1"/>
  <c r="Q215" i="1"/>
  <c r="R215" i="1"/>
  <c r="S215" i="1"/>
  <c r="O216" i="1"/>
  <c r="P216" i="1"/>
  <c r="Q216" i="1"/>
  <c r="R216" i="1"/>
  <c r="S216" i="1"/>
  <c r="O217" i="1"/>
  <c r="P217" i="1"/>
  <c r="Q217" i="1"/>
  <c r="R217" i="1"/>
  <c r="S217" i="1"/>
  <c r="O218" i="1"/>
  <c r="P218" i="1"/>
  <c r="Q218" i="1"/>
  <c r="R218" i="1"/>
  <c r="S218" i="1"/>
  <c r="O219" i="1"/>
  <c r="P219" i="1"/>
  <c r="Q219" i="1"/>
  <c r="R219" i="1"/>
  <c r="S219" i="1"/>
  <c r="O220" i="1"/>
  <c r="P220" i="1"/>
  <c r="Q220" i="1"/>
  <c r="R220" i="1"/>
  <c r="S220" i="1"/>
  <c r="O221" i="1"/>
  <c r="P221" i="1"/>
  <c r="Q221" i="1"/>
  <c r="R221" i="1"/>
  <c r="S221" i="1"/>
  <c r="O222" i="1"/>
  <c r="P222" i="1"/>
  <c r="Q222" i="1"/>
  <c r="R222" i="1"/>
  <c r="S222" i="1"/>
  <c r="O223" i="1"/>
  <c r="P223" i="1"/>
  <c r="Q223" i="1"/>
  <c r="R223" i="1"/>
  <c r="S223" i="1"/>
  <c r="O224" i="1"/>
  <c r="P224" i="1"/>
  <c r="Q224" i="1"/>
  <c r="R224" i="1"/>
  <c r="S224" i="1"/>
  <c r="O225" i="1"/>
  <c r="P225" i="1"/>
  <c r="Q225" i="1"/>
  <c r="R225" i="1"/>
  <c r="S225" i="1"/>
  <c r="O226" i="1"/>
  <c r="P226" i="1"/>
  <c r="Q226" i="1"/>
  <c r="R226" i="1"/>
  <c r="S226" i="1"/>
  <c r="O227" i="1"/>
  <c r="P227" i="1"/>
  <c r="Q227" i="1"/>
  <c r="R227" i="1"/>
  <c r="S227" i="1"/>
  <c r="O228" i="1"/>
  <c r="P228" i="1"/>
  <c r="Q228" i="1"/>
  <c r="R228" i="1"/>
  <c r="S228" i="1"/>
  <c r="O229" i="1"/>
  <c r="P229" i="1"/>
  <c r="Q229" i="1"/>
  <c r="R229" i="1"/>
  <c r="S229" i="1"/>
  <c r="O230" i="1"/>
  <c r="P230" i="1"/>
  <c r="Q230" i="1"/>
  <c r="R230" i="1"/>
  <c r="S230" i="1"/>
  <c r="O231" i="1"/>
  <c r="P231" i="1"/>
  <c r="Q231" i="1"/>
  <c r="R231" i="1"/>
  <c r="S231" i="1"/>
  <c r="O232" i="1"/>
  <c r="P232" i="1"/>
  <c r="Q232" i="1"/>
  <c r="R232" i="1"/>
  <c r="S232" i="1"/>
  <c r="O233" i="1"/>
  <c r="P233" i="1"/>
  <c r="Q233" i="1"/>
  <c r="R233" i="1"/>
  <c r="S233" i="1"/>
  <c r="O234" i="1"/>
  <c r="P234" i="1"/>
  <c r="Q234" i="1"/>
  <c r="R234" i="1"/>
  <c r="S234" i="1"/>
  <c r="O235" i="1"/>
  <c r="P235" i="1"/>
  <c r="Q235" i="1"/>
  <c r="R235" i="1"/>
  <c r="S235" i="1"/>
  <c r="O236" i="1"/>
  <c r="P236" i="1"/>
  <c r="Q236" i="1"/>
  <c r="R236" i="1"/>
  <c r="S236" i="1"/>
  <c r="O237" i="1"/>
  <c r="P237" i="1"/>
  <c r="Q237" i="1"/>
  <c r="R237" i="1"/>
  <c r="S237" i="1"/>
  <c r="O238" i="1"/>
  <c r="P238" i="1"/>
  <c r="Q238" i="1"/>
  <c r="R238" i="1"/>
  <c r="S238" i="1"/>
  <c r="O239" i="1"/>
  <c r="P239" i="1"/>
  <c r="Q239" i="1"/>
  <c r="R239" i="1"/>
  <c r="S239" i="1"/>
  <c r="O240" i="1"/>
  <c r="P240" i="1"/>
  <c r="Q240" i="1"/>
  <c r="R240" i="1"/>
  <c r="S240" i="1"/>
  <c r="O241" i="1"/>
  <c r="P241" i="1"/>
  <c r="Q241" i="1"/>
  <c r="R241" i="1"/>
  <c r="S241" i="1"/>
  <c r="O242" i="1"/>
  <c r="P242" i="1"/>
  <c r="Q242" i="1"/>
  <c r="R242" i="1"/>
  <c r="S242" i="1"/>
  <c r="O243" i="1"/>
  <c r="P243" i="1"/>
  <c r="Q243" i="1"/>
  <c r="R243" i="1"/>
  <c r="S243" i="1"/>
  <c r="O244" i="1"/>
  <c r="P244" i="1"/>
  <c r="Q244" i="1"/>
  <c r="R244" i="1"/>
  <c r="S244" i="1"/>
  <c r="O245" i="1"/>
  <c r="P245" i="1"/>
  <c r="Q245" i="1"/>
  <c r="R245" i="1"/>
  <c r="S245" i="1"/>
  <c r="O246" i="1"/>
  <c r="P246" i="1"/>
  <c r="Q246" i="1"/>
  <c r="R246" i="1"/>
  <c r="S246" i="1"/>
  <c r="O247" i="1"/>
  <c r="P247" i="1"/>
  <c r="Q247" i="1"/>
  <c r="R247" i="1"/>
  <c r="S247" i="1"/>
  <c r="O248" i="1"/>
  <c r="P248" i="1"/>
  <c r="Q248" i="1"/>
  <c r="R248" i="1"/>
  <c r="S248" i="1"/>
  <c r="O249" i="1"/>
  <c r="P249" i="1"/>
  <c r="Q249" i="1"/>
  <c r="R249" i="1"/>
  <c r="S249" i="1"/>
  <c r="O250" i="1"/>
  <c r="P250" i="1"/>
  <c r="Q250" i="1"/>
  <c r="R250" i="1"/>
  <c r="S250" i="1"/>
  <c r="O251" i="1"/>
  <c r="P251" i="1"/>
  <c r="Q251" i="1"/>
  <c r="R251" i="1"/>
  <c r="S251" i="1"/>
  <c r="O252" i="1"/>
  <c r="P252" i="1"/>
  <c r="Q252" i="1"/>
  <c r="R252" i="1"/>
  <c r="S252" i="1"/>
  <c r="O253" i="1"/>
  <c r="P253" i="1"/>
  <c r="Q253" i="1"/>
  <c r="R253" i="1"/>
  <c r="S253" i="1"/>
  <c r="O254" i="1"/>
  <c r="P254" i="1"/>
  <c r="Q254" i="1"/>
  <c r="R254" i="1"/>
  <c r="S254" i="1"/>
  <c r="O255" i="1"/>
  <c r="P255" i="1"/>
  <c r="Q255" i="1"/>
  <c r="R255" i="1"/>
  <c r="S255" i="1"/>
  <c r="O256" i="1"/>
  <c r="P256" i="1"/>
  <c r="Q256" i="1"/>
  <c r="R256" i="1"/>
  <c r="S256" i="1"/>
  <c r="O257" i="1"/>
  <c r="P257" i="1"/>
  <c r="Q257" i="1"/>
  <c r="R257" i="1"/>
  <c r="S257" i="1"/>
  <c r="O258" i="1"/>
  <c r="P258" i="1"/>
  <c r="Q258" i="1"/>
  <c r="R258" i="1"/>
  <c r="S258" i="1"/>
  <c r="O259" i="1"/>
  <c r="P259" i="1"/>
  <c r="Q259" i="1"/>
  <c r="R259" i="1"/>
  <c r="S259" i="1"/>
  <c r="O260" i="1"/>
  <c r="P260" i="1"/>
  <c r="Q260" i="1"/>
  <c r="R260" i="1"/>
  <c r="S260" i="1"/>
  <c r="O261" i="1"/>
  <c r="P261" i="1"/>
  <c r="Q261" i="1"/>
  <c r="R261" i="1"/>
  <c r="S261" i="1"/>
  <c r="O262" i="1"/>
  <c r="P262" i="1"/>
  <c r="Q262" i="1"/>
  <c r="R262" i="1"/>
  <c r="S262" i="1"/>
  <c r="O263" i="1"/>
  <c r="P263" i="1"/>
  <c r="Q263" i="1"/>
  <c r="R263" i="1"/>
  <c r="S263" i="1"/>
  <c r="O264" i="1"/>
  <c r="P264" i="1"/>
  <c r="Q264" i="1"/>
  <c r="R264" i="1"/>
  <c r="S264" i="1"/>
  <c r="O265" i="1"/>
  <c r="P265" i="1"/>
  <c r="Q265" i="1"/>
  <c r="R265" i="1"/>
  <c r="S265" i="1"/>
  <c r="O266" i="1"/>
  <c r="P266" i="1"/>
  <c r="Q266" i="1"/>
  <c r="R266" i="1"/>
  <c r="S266" i="1"/>
  <c r="O267" i="1"/>
  <c r="P267" i="1"/>
  <c r="Q267" i="1"/>
  <c r="R267" i="1"/>
  <c r="S267" i="1"/>
  <c r="O268" i="1"/>
  <c r="P268" i="1"/>
  <c r="Q268" i="1"/>
  <c r="R268" i="1"/>
  <c r="S268" i="1"/>
  <c r="O269" i="1"/>
  <c r="P269" i="1"/>
  <c r="Q269" i="1"/>
  <c r="R269" i="1"/>
  <c r="S269" i="1"/>
  <c r="O270" i="1"/>
  <c r="P270" i="1"/>
  <c r="Q270" i="1"/>
  <c r="R270" i="1"/>
  <c r="S270" i="1"/>
  <c r="O271" i="1"/>
  <c r="P271" i="1"/>
  <c r="Q271" i="1"/>
  <c r="R271" i="1"/>
  <c r="S271" i="1"/>
  <c r="O272" i="1"/>
  <c r="P272" i="1"/>
  <c r="Q272" i="1"/>
  <c r="R272" i="1"/>
  <c r="S272" i="1"/>
  <c r="O273" i="1"/>
  <c r="P273" i="1"/>
  <c r="Q273" i="1"/>
  <c r="R273" i="1"/>
  <c r="S273" i="1"/>
  <c r="O274" i="1"/>
  <c r="P274" i="1"/>
  <c r="Q274" i="1"/>
  <c r="R274" i="1"/>
  <c r="S274" i="1"/>
  <c r="O275" i="1"/>
  <c r="P275" i="1"/>
  <c r="Q275" i="1"/>
  <c r="R275" i="1"/>
  <c r="S275" i="1"/>
  <c r="O276" i="1"/>
  <c r="P276" i="1"/>
  <c r="Q276" i="1"/>
  <c r="R276" i="1"/>
  <c r="S276" i="1"/>
  <c r="O277" i="1"/>
  <c r="P277" i="1"/>
  <c r="Q277" i="1"/>
  <c r="R277" i="1"/>
  <c r="S277" i="1"/>
  <c r="O278" i="1"/>
  <c r="P278" i="1"/>
  <c r="Q278" i="1"/>
  <c r="R278" i="1"/>
  <c r="S278" i="1"/>
  <c r="O279" i="1"/>
  <c r="P279" i="1"/>
  <c r="Q279" i="1"/>
  <c r="R279" i="1"/>
  <c r="S279" i="1"/>
  <c r="O280" i="1"/>
  <c r="P280" i="1"/>
  <c r="Q280" i="1"/>
  <c r="R280" i="1"/>
  <c r="S280" i="1"/>
  <c r="O281" i="1"/>
  <c r="P281" i="1"/>
  <c r="Q281" i="1"/>
  <c r="R281" i="1"/>
  <c r="S281" i="1"/>
  <c r="O282" i="1"/>
  <c r="P282" i="1"/>
  <c r="Q282" i="1"/>
  <c r="R282" i="1"/>
  <c r="S282" i="1"/>
  <c r="O283" i="1"/>
  <c r="P283" i="1"/>
  <c r="Q283" i="1"/>
  <c r="R283" i="1"/>
  <c r="S283" i="1"/>
  <c r="O284" i="1"/>
  <c r="P284" i="1"/>
  <c r="Q284" i="1"/>
  <c r="R284" i="1"/>
  <c r="S284" i="1"/>
  <c r="O285" i="1"/>
  <c r="P285" i="1"/>
  <c r="Q285" i="1"/>
  <c r="R285" i="1"/>
  <c r="S285" i="1"/>
  <c r="O286" i="1"/>
  <c r="P286" i="1"/>
  <c r="Q286" i="1"/>
  <c r="R286" i="1"/>
  <c r="S286" i="1"/>
  <c r="O287" i="1"/>
  <c r="P287" i="1"/>
  <c r="Q287" i="1"/>
  <c r="R287" i="1"/>
  <c r="S287" i="1"/>
  <c r="O288" i="1"/>
  <c r="P288" i="1"/>
  <c r="Q288" i="1"/>
  <c r="R288" i="1"/>
  <c r="S288" i="1"/>
  <c r="O289" i="1"/>
  <c r="P289" i="1"/>
  <c r="Q289" i="1"/>
  <c r="R289" i="1"/>
  <c r="S289" i="1"/>
  <c r="O290" i="1"/>
  <c r="P290" i="1"/>
  <c r="Q290" i="1"/>
  <c r="R290" i="1"/>
  <c r="S290" i="1"/>
  <c r="O291" i="1"/>
  <c r="P291" i="1"/>
  <c r="Q291" i="1"/>
  <c r="R291" i="1"/>
  <c r="S291" i="1"/>
  <c r="O292" i="1"/>
  <c r="P292" i="1"/>
  <c r="Q292" i="1"/>
  <c r="R292" i="1"/>
  <c r="S292" i="1"/>
  <c r="O293" i="1"/>
  <c r="P293" i="1"/>
  <c r="Q293" i="1"/>
  <c r="R293" i="1"/>
  <c r="S293" i="1"/>
  <c r="O294" i="1"/>
  <c r="P294" i="1"/>
  <c r="Q294" i="1"/>
  <c r="R294" i="1"/>
  <c r="S294" i="1"/>
  <c r="O295" i="1"/>
  <c r="P295" i="1"/>
  <c r="Q295" i="1"/>
  <c r="R295" i="1"/>
  <c r="S295" i="1"/>
  <c r="O296" i="1"/>
  <c r="P296" i="1"/>
  <c r="Q296" i="1"/>
  <c r="R296" i="1"/>
  <c r="S296" i="1"/>
  <c r="O297" i="1"/>
  <c r="P297" i="1"/>
  <c r="Q297" i="1"/>
  <c r="R297" i="1"/>
  <c r="S297" i="1"/>
  <c r="O298" i="1"/>
  <c r="P298" i="1"/>
  <c r="Q298" i="1"/>
  <c r="R298" i="1"/>
  <c r="S298" i="1"/>
  <c r="O299" i="1"/>
  <c r="P299" i="1"/>
  <c r="Q299" i="1"/>
  <c r="R299" i="1"/>
  <c r="S299" i="1"/>
  <c r="O300" i="1"/>
  <c r="P300" i="1"/>
  <c r="Q300" i="1"/>
  <c r="R300" i="1"/>
  <c r="S300" i="1"/>
  <c r="O301" i="1"/>
  <c r="P301" i="1"/>
  <c r="Q301" i="1"/>
  <c r="R301" i="1"/>
  <c r="S301" i="1"/>
  <c r="O302" i="1"/>
  <c r="P302" i="1"/>
  <c r="Q302" i="1"/>
  <c r="R302" i="1"/>
  <c r="S302" i="1"/>
  <c r="O303" i="1"/>
  <c r="P303" i="1"/>
  <c r="Q303" i="1"/>
  <c r="R303" i="1"/>
  <c r="S303" i="1"/>
  <c r="O304" i="1"/>
  <c r="P304" i="1"/>
  <c r="Q304" i="1"/>
  <c r="R304" i="1"/>
  <c r="S304" i="1"/>
  <c r="O305" i="1"/>
  <c r="P305" i="1"/>
  <c r="Q305" i="1"/>
  <c r="R305" i="1"/>
  <c r="S305" i="1"/>
  <c r="O306" i="1"/>
  <c r="P306" i="1"/>
  <c r="Q306" i="1"/>
  <c r="R306" i="1"/>
  <c r="S306" i="1"/>
  <c r="O307" i="1"/>
  <c r="P307" i="1"/>
  <c r="Q307" i="1"/>
  <c r="R307" i="1"/>
  <c r="S307" i="1"/>
  <c r="O308" i="1"/>
  <c r="P308" i="1"/>
  <c r="Q308" i="1"/>
  <c r="R308" i="1"/>
  <c r="S308" i="1"/>
  <c r="O309" i="1"/>
  <c r="P309" i="1"/>
  <c r="Q309" i="1"/>
  <c r="R309" i="1"/>
  <c r="S309" i="1"/>
  <c r="O310" i="1"/>
  <c r="P310" i="1"/>
  <c r="Q310" i="1"/>
  <c r="R310" i="1"/>
  <c r="S310" i="1"/>
  <c r="O311" i="1"/>
  <c r="P311" i="1"/>
  <c r="Q311" i="1"/>
  <c r="R311" i="1"/>
  <c r="S311" i="1"/>
  <c r="O312" i="1"/>
  <c r="P312" i="1"/>
  <c r="Q312" i="1"/>
  <c r="R312" i="1"/>
  <c r="S312" i="1"/>
  <c r="O313" i="1"/>
  <c r="P313" i="1"/>
  <c r="Q313" i="1"/>
  <c r="R313" i="1"/>
  <c r="S313" i="1"/>
  <c r="O314" i="1"/>
  <c r="P314" i="1"/>
  <c r="Q314" i="1"/>
  <c r="R314" i="1"/>
  <c r="S314" i="1"/>
  <c r="O315" i="1"/>
  <c r="P315" i="1"/>
  <c r="Q315" i="1"/>
  <c r="R315" i="1"/>
  <c r="S315" i="1"/>
  <c r="O316" i="1"/>
  <c r="P316" i="1"/>
  <c r="Q316" i="1"/>
  <c r="R316" i="1"/>
  <c r="S316" i="1"/>
  <c r="O317" i="1"/>
  <c r="P317" i="1"/>
  <c r="Q317" i="1"/>
  <c r="R317" i="1"/>
  <c r="S317" i="1"/>
  <c r="O318" i="1"/>
  <c r="P318" i="1"/>
  <c r="Q318" i="1"/>
  <c r="R318" i="1"/>
  <c r="S318" i="1"/>
  <c r="O319" i="1"/>
  <c r="P319" i="1"/>
  <c r="Q319" i="1"/>
  <c r="R319" i="1"/>
  <c r="S319" i="1"/>
  <c r="O320" i="1"/>
  <c r="P320" i="1"/>
  <c r="Q320" i="1"/>
  <c r="R320" i="1"/>
  <c r="S320" i="1"/>
  <c r="O321" i="1"/>
  <c r="P321" i="1"/>
  <c r="Q321" i="1"/>
  <c r="R321" i="1"/>
  <c r="S321" i="1"/>
  <c r="O322" i="1"/>
  <c r="P322" i="1"/>
  <c r="Q322" i="1"/>
  <c r="R322" i="1"/>
  <c r="S322" i="1"/>
  <c r="O323" i="1"/>
  <c r="P323" i="1"/>
  <c r="Q323" i="1"/>
  <c r="R323" i="1"/>
  <c r="S323" i="1"/>
  <c r="O324" i="1"/>
  <c r="P324" i="1"/>
  <c r="Q324" i="1"/>
  <c r="R324" i="1"/>
  <c r="S324" i="1"/>
  <c r="O325" i="1"/>
  <c r="P325" i="1"/>
  <c r="Q325" i="1"/>
  <c r="R325" i="1"/>
  <c r="S325" i="1"/>
  <c r="O326" i="1"/>
  <c r="P326" i="1"/>
  <c r="Q326" i="1"/>
  <c r="R326" i="1"/>
  <c r="S326" i="1"/>
  <c r="O327" i="1"/>
  <c r="P327" i="1"/>
  <c r="Q327" i="1"/>
  <c r="R327" i="1"/>
  <c r="S327" i="1"/>
  <c r="O328" i="1"/>
  <c r="P328" i="1"/>
  <c r="Q328" i="1"/>
  <c r="R328" i="1"/>
  <c r="S328" i="1"/>
  <c r="O329" i="1"/>
  <c r="P329" i="1"/>
  <c r="Q329" i="1"/>
  <c r="R329" i="1"/>
  <c r="S329" i="1"/>
  <c r="O330" i="1"/>
  <c r="P330" i="1"/>
  <c r="Q330" i="1"/>
  <c r="R330" i="1"/>
  <c r="S330" i="1"/>
  <c r="O331" i="1"/>
  <c r="P331" i="1"/>
  <c r="Q331" i="1"/>
  <c r="R331" i="1"/>
  <c r="S331" i="1"/>
  <c r="O332" i="1"/>
  <c r="P332" i="1"/>
  <c r="Q332" i="1"/>
  <c r="R332" i="1"/>
  <c r="S332" i="1"/>
  <c r="O333" i="1"/>
  <c r="P333" i="1"/>
  <c r="Q333" i="1"/>
  <c r="R333" i="1"/>
  <c r="S333" i="1"/>
  <c r="O334" i="1"/>
  <c r="P334" i="1"/>
  <c r="Q334" i="1"/>
  <c r="R334" i="1"/>
  <c r="S334" i="1"/>
  <c r="O335" i="1"/>
  <c r="P335" i="1"/>
  <c r="Q335" i="1"/>
  <c r="R335" i="1"/>
  <c r="S335" i="1"/>
  <c r="O336" i="1"/>
  <c r="P336" i="1"/>
  <c r="Q336" i="1"/>
  <c r="R336" i="1"/>
  <c r="S336" i="1"/>
  <c r="O337" i="1"/>
  <c r="P337" i="1"/>
  <c r="Q337" i="1"/>
  <c r="R337" i="1"/>
  <c r="S337" i="1"/>
  <c r="O338" i="1"/>
  <c r="P338" i="1"/>
  <c r="Q338" i="1"/>
  <c r="R338" i="1"/>
  <c r="S338" i="1"/>
  <c r="O339" i="1"/>
  <c r="P339" i="1"/>
  <c r="Q339" i="1"/>
  <c r="R339" i="1"/>
  <c r="S339" i="1"/>
  <c r="O340" i="1"/>
  <c r="P340" i="1"/>
  <c r="Q340" i="1"/>
  <c r="R340" i="1"/>
  <c r="S340" i="1"/>
  <c r="O341" i="1"/>
  <c r="P341" i="1"/>
  <c r="Q341" i="1"/>
  <c r="R341" i="1"/>
  <c r="S341" i="1"/>
  <c r="O342" i="1"/>
  <c r="P342" i="1"/>
  <c r="Q342" i="1"/>
  <c r="R342" i="1"/>
  <c r="S342" i="1"/>
  <c r="O343" i="1"/>
  <c r="P343" i="1"/>
  <c r="Q343" i="1"/>
  <c r="R343" i="1"/>
  <c r="S343" i="1"/>
  <c r="O344" i="1"/>
  <c r="P344" i="1"/>
  <c r="Q344" i="1"/>
  <c r="R344" i="1"/>
  <c r="S344" i="1"/>
  <c r="O345" i="1"/>
  <c r="P345" i="1"/>
  <c r="Q345" i="1"/>
  <c r="R345" i="1"/>
  <c r="S345" i="1"/>
  <c r="O346" i="1"/>
  <c r="P346" i="1"/>
  <c r="Q346" i="1"/>
  <c r="R346" i="1"/>
  <c r="S346" i="1"/>
  <c r="O347" i="1"/>
  <c r="P347" i="1"/>
  <c r="Q347" i="1"/>
  <c r="R347" i="1"/>
  <c r="S347" i="1"/>
  <c r="O348" i="1"/>
  <c r="P348" i="1"/>
  <c r="Q348" i="1"/>
  <c r="R348" i="1"/>
  <c r="S348" i="1"/>
  <c r="O349" i="1"/>
  <c r="P349" i="1"/>
  <c r="Q349" i="1"/>
  <c r="R349" i="1"/>
  <c r="S349" i="1"/>
  <c r="O350" i="1"/>
  <c r="P350" i="1"/>
  <c r="Q350" i="1"/>
  <c r="R350" i="1"/>
  <c r="S350" i="1"/>
  <c r="O351" i="1"/>
  <c r="P351" i="1"/>
  <c r="Q351" i="1"/>
  <c r="R351" i="1"/>
  <c r="S351" i="1"/>
  <c r="O352" i="1"/>
  <c r="P352" i="1"/>
  <c r="Q352" i="1"/>
  <c r="R352" i="1"/>
  <c r="S352" i="1"/>
  <c r="O353" i="1"/>
  <c r="P353" i="1"/>
  <c r="Q353" i="1"/>
  <c r="R353" i="1"/>
  <c r="S353" i="1"/>
  <c r="O354" i="1"/>
  <c r="P354" i="1"/>
  <c r="Q354" i="1"/>
  <c r="R354" i="1"/>
  <c r="S354" i="1"/>
  <c r="O355" i="1"/>
  <c r="P355" i="1"/>
  <c r="Q355" i="1"/>
  <c r="R355" i="1"/>
  <c r="S355" i="1"/>
  <c r="O356" i="1"/>
  <c r="P356" i="1"/>
  <c r="Q356" i="1"/>
  <c r="R356" i="1"/>
  <c r="S356" i="1"/>
  <c r="O357" i="1"/>
  <c r="P357" i="1"/>
  <c r="Q357" i="1"/>
  <c r="R357" i="1"/>
  <c r="S357" i="1"/>
  <c r="O358" i="1"/>
  <c r="P358" i="1"/>
  <c r="Q358" i="1"/>
  <c r="R358" i="1"/>
  <c r="S358" i="1"/>
  <c r="O359" i="1"/>
  <c r="P359" i="1"/>
  <c r="Q359" i="1"/>
  <c r="R359" i="1"/>
  <c r="S359" i="1"/>
  <c r="O360" i="1"/>
  <c r="P360" i="1"/>
  <c r="Q360" i="1"/>
  <c r="R360" i="1"/>
  <c r="S360" i="1"/>
  <c r="O361" i="1"/>
  <c r="P361" i="1"/>
  <c r="Q361" i="1"/>
  <c r="R361" i="1"/>
  <c r="S361" i="1"/>
  <c r="O362" i="1"/>
  <c r="P362" i="1"/>
  <c r="Q362" i="1"/>
  <c r="R362" i="1"/>
  <c r="S362" i="1"/>
  <c r="O363" i="1"/>
  <c r="P363" i="1"/>
  <c r="Q363" i="1"/>
  <c r="R363" i="1"/>
  <c r="S363" i="1"/>
  <c r="O364" i="1"/>
  <c r="P364" i="1"/>
  <c r="Q364" i="1"/>
  <c r="R364" i="1"/>
  <c r="S364" i="1"/>
  <c r="O365" i="1"/>
  <c r="P365" i="1"/>
  <c r="Q365" i="1"/>
  <c r="R365" i="1"/>
  <c r="S365" i="1"/>
  <c r="O366" i="1"/>
  <c r="P366" i="1"/>
  <c r="Q366" i="1"/>
  <c r="R366" i="1"/>
  <c r="S366" i="1"/>
  <c r="O367" i="1"/>
  <c r="P367" i="1"/>
  <c r="Q367" i="1"/>
  <c r="R367" i="1"/>
  <c r="S367" i="1"/>
  <c r="O368" i="1"/>
  <c r="P368" i="1"/>
  <c r="Q368" i="1"/>
  <c r="R368" i="1"/>
  <c r="S368" i="1"/>
  <c r="O369" i="1"/>
  <c r="P369" i="1"/>
  <c r="Q369" i="1"/>
  <c r="R369" i="1"/>
  <c r="S369" i="1"/>
  <c r="O370" i="1"/>
  <c r="P370" i="1"/>
  <c r="Q370" i="1"/>
  <c r="R370" i="1"/>
  <c r="S370" i="1"/>
  <c r="O371" i="1"/>
  <c r="P371" i="1"/>
  <c r="Q371" i="1"/>
  <c r="R371" i="1"/>
  <c r="S371" i="1"/>
  <c r="O372" i="1"/>
  <c r="P372" i="1"/>
  <c r="Q372" i="1"/>
  <c r="R372" i="1"/>
  <c r="S372" i="1"/>
  <c r="O373" i="1"/>
  <c r="P373" i="1"/>
  <c r="Q373" i="1"/>
  <c r="R373" i="1"/>
  <c r="S373" i="1"/>
  <c r="O374" i="1"/>
  <c r="P374" i="1"/>
  <c r="Q374" i="1"/>
  <c r="R374" i="1"/>
  <c r="S374" i="1"/>
  <c r="O375" i="1"/>
  <c r="P375" i="1"/>
  <c r="Q375" i="1"/>
  <c r="R375" i="1"/>
  <c r="S375" i="1"/>
  <c r="O376" i="1"/>
  <c r="P376" i="1"/>
  <c r="Q376" i="1"/>
  <c r="R376" i="1"/>
  <c r="S376" i="1"/>
  <c r="O377" i="1"/>
  <c r="P377" i="1"/>
  <c r="Q377" i="1"/>
  <c r="R377" i="1"/>
  <c r="S377" i="1"/>
  <c r="O378" i="1"/>
  <c r="P378" i="1"/>
  <c r="Q378" i="1"/>
  <c r="R378" i="1"/>
  <c r="S378" i="1"/>
  <c r="O379" i="1"/>
  <c r="P379" i="1"/>
  <c r="Q379" i="1"/>
  <c r="R379" i="1"/>
  <c r="S379" i="1"/>
  <c r="O380" i="1"/>
  <c r="P380" i="1"/>
  <c r="Q380" i="1"/>
  <c r="R380" i="1"/>
  <c r="S380" i="1"/>
  <c r="O381" i="1"/>
  <c r="P381" i="1"/>
  <c r="Q381" i="1"/>
  <c r="R381" i="1"/>
  <c r="S381" i="1"/>
  <c r="O382" i="1"/>
  <c r="P382" i="1"/>
  <c r="Q382" i="1"/>
  <c r="R382" i="1"/>
  <c r="S382" i="1"/>
  <c r="O383" i="1"/>
  <c r="P383" i="1"/>
  <c r="Q383" i="1"/>
  <c r="R383" i="1"/>
  <c r="S383" i="1"/>
  <c r="O384" i="1"/>
  <c r="P384" i="1"/>
  <c r="Q384" i="1"/>
  <c r="R384" i="1"/>
  <c r="S384" i="1"/>
  <c r="O385" i="1"/>
  <c r="P385" i="1"/>
  <c r="Q385" i="1"/>
  <c r="R385" i="1"/>
  <c r="S385" i="1"/>
  <c r="O386" i="1"/>
  <c r="P386" i="1"/>
  <c r="Q386" i="1"/>
  <c r="R386" i="1"/>
  <c r="S386" i="1"/>
  <c r="O387" i="1"/>
  <c r="P387" i="1"/>
  <c r="Q387" i="1"/>
  <c r="R387" i="1"/>
  <c r="S387" i="1"/>
  <c r="O388" i="1"/>
  <c r="P388" i="1"/>
  <c r="Q388" i="1"/>
  <c r="R388" i="1"/>
  <c r="S388" i="1"/>
  <c r="O389" i="1"/>
  <c r="P389" i="1"/>
  <c r="Q389" i="1"/>
  <c r="R389" i="1"/>
  <c r="S389" i="1"/>
  <c r="O390" i="1"/>
  <c r="P390" i="1"/>
  <c r="Q390" i="1"/>
  <c r="R390" i="1"/>
  <c r="S390" i="1"/>
  <c r="O391" i="1"/>
  <c r="P391" i="1"/>
  <c r="Q391" i="1"/>
  <c r="R391" i="1"/>
  <c r="S391" i="1"/>
  <c r="O392" i="1"/>
  <c r="P392" i="1"/>
  <c r="Q392" i="1"/>
  <c r="R392" i="1"/>
  <c r="S392" i="1"/>
  <c r="O393" i="1"/>
  <c r="P393" i="1"/>
  <c r="Q393" i="1"/>
  <c r="R393" i="1"/>
  <c r="S393" i="1"/>
  <c r="O394" i="1"/>
  <c r="P394" i="1"/>
  <c r="Q394" i="1"/>
  <c r="R394" i="1"/>
  <c r="S394" i="1"/>
  <c r="O395" i="1"/>
  <c r="P395" i="1"/>
  <c r="Q395" i="1"/>
  <c r="R395" i="1"/>
  <c r="S395" i="1"/>
  <c r="O396" i="1"/>
  <c r="P396" i="1"/>
  <c r="Q396" i="1"/>
  <c r="R396" i="1"/>
  <c r="S396" i="1"/>
  <c r="O397" i="1"/>
  <c r="P397" i="1"/>
  <c r="Q397" i="1"/>
  <c r="R397" i="1"/>
  <c r="S397" i="1"/>
  <c r="O398" i="1"/>
  <c r="P398" i="1"/>
  <c r="Q398" i="1"/>
  <c r="R398" i="1"/>
  <c r="S398" i="1"/>
  <c r="O399" i="1"/>
  <c r="P399" i="1"/>
  <c r="Q399" i="1"/>
  <c r="R399" i="1"/>
  <c r="S399" i="1"/>
  <c r="O400" i="1"/>
  <c r="P400" i="1"/>
  <c r="Q400" i="1"/>
  <c r="R400" i="1"/>
  <c r="S400" i="1"/>
  <c r="O401" i="1"/>
  <c r="P401" i="1"/>
  <c r="Q401" i="1"/>
  <c r="R401" i="1"/>
  <c r="S401" i="1"/>
  <c r="O402" i="1"/>
  <c r="P402" i="1"/>
  <c r="Q402" i="1"/>
  <c r="R402" i="1"/>
  <c r="S402" i="1"/>
  <c r="O403" i="1"/>
  <c r="P403" i="1"/>
  <c r="Q403" i="1"/>
  <c r="R403" i="1"/>
  <c r="S403" i="1"/>
  <c r="O404" i="1"/>
  <c r="P404" i="1"/>
  <c r="Q404" i="1"/>
  <c r="R404" i="1"/>
  <c r="S404" i="1"/>
  <c r="O405" i="1"/>
  <c r="P405" i="1"/>
  <c r="Q405" i="1"/>
  <c r="R405" i="1"/>
  <c r="S405" i="1"/>
  <c r="O406" i="1"/>
  <c r="P406" i="1"/>
  <c r="Q406" i="1"/>
  <c r="R406" i="1"/>
  <c r="S406" i="1"/>
  <c r="O407" i="1"/>
  <c r="P407" i="1"/>
  <c r="Q407" i="1"/>
  <c r="R407" i="1"/>
  <c r="S407" i="1"/>
  <c r="O408" i="1"/>
  <c r="P408" i="1"/>
  <c r="Q408" i="1"/>
  <c r="R408" i="1"/>
  <c r="S408" i="1"/>
  <c r="O409" i="1"/>
  <c r="P409" i="1"/>
  <c r="Q409" i="1"/>
  <c r="R409" i="1"/>
  <c r="S409" i="1"/>
  <c r="O410" i="1"/>
  <c r="P410" i="1"/>
  <c r="Q410" i="1"/>
  <c r="R410" i="1"/>
  <c r="S410" i="1"/>
  <c r="O411" i="1"/>
  <c r="P411" i="1"/>
  <c r="Q411" i="1"/>
  <c r="R411" i="1"/>
  <c r="S411" i="1"/>
  <c r="O412" i="1"/>
  <c r="P412" i="1"/>
  <c r="Q412" i="1"/>
  <c r="R412" i="1"/>
  <c r="S412" i="1"/>
  <c r="O413" i="1"/>
  <c r="P413" i="1"/>
  <c r="Q413" i="1"/>
  <c r="R413" i="1"/>
  <c r="S413" i="1"/>
  <c r="O414" i="1"/>
  <c r="P414" i="1"/>
  <c r="Q414" i="1"/>
  <c r="R414" i="1"/>
  <c r="S414" i="1"/>
  <c r="O415" i="1"/>
  <c r="P415" i="1"/>
  <c r="Q415" i="1"/>
  <c r="R415" i="1"/>
  <c r="S415" i="1"/>
  <c r="O416" i="1"/>
  <c r="P416" i="1"/>
  <c r="Q416" i="1"/>
  <c r="R416" i="1"/>
  <c r="S416" i="1"/>
  <c r="O417" i="1"/>
  <c r="P417" i="1"/>
  <c r="Q417" i="1"/>
  <c r="R417" i="1"/>
  <c r="S417" i="1"/>
  <c r="O418" i="1"/>
  <c r="P418" i="1"/>
  <c r="Q418" i="1"/>
  <c r="R418" i="1"/>
  <c r="S418" i="1"/>
  <c r="O419" i="1"/>
  <c r="P419" i="1"/>
  <c r="Q419" i="1"/>
  <c r="R419" i="1"/>
  <c r="S419" i="1"/>
  <c r="O420" i="1"/>
  <c r="P420" i="1"/>
  <c r="Q420" i="1"/>
  <c r="R420" i="1"/>
  <c r="S420" i="1"/>
  <c r="O421" i="1"/>
  <c r="P421" i="1"/>
  <c r="Q421" i="1"/>
  <c r="R421" i="1"/>
  <c r="S421" i="1"/>
  <c r="O422" i="1"/>
  <c r="P422" i="1"/>
  <c r="Q422" i="1"/>
  <c r="R422" i="1"/>
  <c r="S422" i="1"/>
  <c r="O423" i="1"/>
  <c r="P423" i="1"/>
  <c r="Q423" i="1"/>
  <c r="R423" i="1"/>
  <c r="S423" i="1"/>
  <c r="O424" i="1"/>
  <c r="P424" i="1"/>
  <c r="Q424" i="1"/>
  <c r="R424" i="1"/>
  <c r="S424" i="1"/>
  <c r="O425" i="1"/>
  <c r="P425" i="1"/>
  <c r="Q425" i="1"/>
  <c r="R425" i="1"/>
  <c r="S425" i="1"/>
  <c r="O426" i="1"/>
  <c r="P426" i="1"/>
  <c r="Q426" i="1"/>
  <c r="R426" i="1"/>
  <c r="S426" i="1"/>
  <c r="O427" i="1"/>
  <c r="P427" i="1"/>
  <c r="Q427" i="1"/>
  <c r="R427" i="1"/>
  <c r="S427" i="1"/>
  <c r="O428" i="1"/>
  <c r="P428" i="1"/>
  <c r="Q428" i="1"/>
  <c r="R428" i="1"/>
  <c r="S428" i="1"/>
  <c r="O429" i="1"/>
  <c r="P429" i="1"/>
  <c r="Q429" i="1"/>
  <c r="R429" i="1"/>
  <c r="S429" i="1"/>
  <c r="O430" i="1"/>
  <c r="P430" i="1"/>
  <c r="Q430" i="1"/>
  <c r="R430" i="1"/>
  <c r="S430" i="1"/>
  <c r="O431" i="1"/>
  <c r="P431" i="1"/>
  <c r="Q431" i="1"/>
  <c r="R431" i="1"/>
  <c r="S431" i="1"/>
  <c r="O432" i="1"/>
  <c r="P432" i="1"/>
  <c r="Q432" i="1"/>
  <c r="R432" i="1"/>
  <c r="S432" i="1"/>
  <c r="O433" i="1"/>
  <c r="P433" i="1"/>
  <c r="Q433" i="1"/>
  <c r="R433" i="1"/>
  <c r="S433" i="1"/>
  <c r="O434" i="1"/>
  <c r="P434" i="1"/>
  <c r="Q434" i="1"/>
  <c r="R434" i="1"/>
  <c r="S434" i="1"/>
  <c r="O435" i="1"/>
  <c r="P435" i="1"/>
  <c r="Q435" i="1"/>
  <c r="R435" i="1"/>
  <c r="S435" i="1"/>
  <c r="O436" i="1"/>
  <c r="P436" i="1"/>
  <c r="Q436" i="1"/>
  <c r="R436" i="1"/>
  <c r="S436" i="1"/>
  <c r="O437" i="1"/>
  <c r="P437" i="1"/>
  <c r="Q437" i="1"/>
  <c r="R437" i="1"/>
  <c r="S437" i="1"/>
  <c r="O438" i="1"/>
  <c r="P438" i="1"/>
  <c r="Q438" i="1"/>
  <c r="R438" i="1"/>
  <c r="S438" i="1"/>
  <c r="O439" i="1"/>
  <c r="P439" i="1"/>
  <c r="Q439" i="1"/>
  <c r="R439" i="1"/>
  <c r="S439" i="1"/>
  <c r="O440" i="1"/>
  <c r="P440" i="1"/>
  <c r="Q440" i="1"/>
  <c r="R440" i="1"/>
  <c r="S440" i="1"/>
  <c r="O441" i="1"/>
  <c r="P441" i="1"/>
  <c r="Q441" i="1"/>
  <c r="R441" i="1"/>
  <c r="S441" i="1"/>
  <c r="O442" i="1"/>
  <c r="P442" i="1"/>
  <c r="Q442" i="1"/>
  <c r="R442" i="1"/>
  <c r="S442" i="1"/>
  <c r="O443" i="1"/>
  <c r="P443" i="1"/>
  <c r="Q443" i="1"/>
  <c r="R443" i="1"/>
  <c r="S443" i="1"/>
  <c r="O444" i="1"/>
  <c r="P444" i="1"/>
  <c r="Q444" i="1"/>
  <c r="R444" i="1"/>
  <c r="S444" i="1"/>
  <c r="O445" i="1"/>
  <c r="P445" i="1"/>
  <c r="Q445" i="1"/>
  <c r="R445" i="1"/>
  <c r="S445" i="1"/>
  <c r="O446" i="1"/>
  <c r="P446" i="1"/>
  <c r="Q446" i="1"/>
  <c r="R446" i="1"/>
  <c r="S446" i="1"/>
  <c r="O447" i="1"/>
  <c r="P447" i="1"/>
  <c r="Q447" i="1"/>
  <c r="R447" i="1"/>
  <c r="S447" i="1"/>
  <c r="O448" i="1"/>
  <c r="P448" i="1"/>
  <c r="Q448" i="1"/>
  <c r="R448" i="1"/>
  <c r="S448" i="1"/>
  <c r="O449" i="1"/>
  <c r="P449" i="1"/>
  <c r="Q449" i="1"/>
  <c r="R449" i="1"/>
  <c r="S449" i="1"/>
  <c r="O450" i="1"/>
  <c r="P450" i="1"/>
  <c r="Q450" i="1"/>
  <c r="R450" i="1"/>
  <c r="S450" i="1"/>
  <c r="O451" i="1"/>
  <c r="P451" i="1"/>
  <c r="Q451" i="1"/>
  <c r="R451" i="1"/>
  <c r="S451" i="1"/>
  <c r="O452" i="1"/>
  <c r="P452" i="1"/>
  <c r="Q452" i="1"/>
  <c r="R452" i="1"/>
  <c r="S452" i="1"/>
  <c r="O453" i="1"/>
  <c r="P453" i="1"/>
  <c r="Q453" i="1"/>
  <c r="R453" i="1"/>
  <c r="S453" i="1"/>
  <c r="O454" i="1"/>
  <c r="P454" i="1"/>
  <c r="Q454" i="1"/>
  <c r="R454" i="1"/>
  <c r="S454" i="1"/>
  <c r="O455" i="1"/>
  <c r="P455" i="1"/>
  <c r="Q455" i="1"/>
  <c r="R455" i="1"/>
  <c r="S455" i="1"/>
  <c r="O456" i="1"/>
  <c r="P456" i="1"/>
  <c r="Q456" i="1"/>
  <c r="R456" i="1"/>
  <c r="S456" i="1"/>
  <c r="O457" i="1"/>
  <c r="P457" i="1"/>
  <c r="Q457" i="1"/>
  <c r="R457" i="1"/>
  <c r="S457" i="1"/>
  <c r="O458" i="1"/>
  <c r="P458" i="1"/>
  <c r="Q458" i="1"/>
  <c r="R458" i="1"/>
  <c r="S458" i="1"/>
  <c r="O459" i="1"/>
  <c r="P459" i="1"/>
  <c r="Q459" i="1"/>
  <c r="R459" i="1"/>
  <c r="S459" i="1"/>
  <c r="O460" i="1"/>
  <c r="P460" i="1"/>
  <c r="Q460" i="1"/>
  <c r="R460" i="1"/>
  <c r="S460" i="1"/>
  <c r="O461" i="1"/>
  <c r="P461" i="1"/>
  <c r="Q461" i="1"/>
  <c r="R461" i="1"/>
  <c r="S461" i="1"/>
  <c r="O462" i="1"/>
  <c r="P462" i="1"/>
  <c r="Q462" i="1"/>
  <c r="R462" i="1"/>
  <c r="S462" i="1"/>
  <c r="O463" i="1"/>
  <c r="P463" i="1"/>
  <c r="Q463" i="1"/>
  <c r="R463" i="1"/>
  <c r="S463" i="1"/>
  <c r="O464" i="1"/>
  <c r="P464" i="1"/>
  <c r="Q464" i="1"/>
  <c r="R464" i="1"/>
  <c r="S464" i="1"/>
  <c r="O465" i="1"/>
  <c r="P465" i="1"/>
  <c r="Q465" i="1"/>
  <c r="R465" i="1"/>
  <c r="S465" i="1"/>
  <c r="O466" i="1"/>
  <c r="P466" i="1"/>
  <c r="Q466" i="1"/>
  <c r="R466" i="1"/>
  <c r="S466" i="1"/>
  <c r="O467" i="1"/>
  <c r="P467" i="1"/>
  <c r="Q467" i="1"/>
  <c r="R467" i="1"/>
  <c r="S467" i="1"/>
  <c r="O468" i="1"/>
  <c r="P468" i="1"/>
  <c r="Q468" i="1"/>
  <c r="R468" i="1"/>
  <c r="S468" i="1"/>
  <c r="O469" i="1"/>
  <c r="P469" i="1"/>
  <c r="Q469" i="1"/>
  <c r="R469" i="1"/>
  <c r="S469" i="1"/>
  <c r="O470" i="1"/>
  <c r="P470" i="1"/>
  <c r="Q470" i="1"/>
  <c r="R470" i="1"/>
  <c r="S470" i="1"/>
  <c r="O471" i="1"/>
  <c r="P471" i="1"/>
  <c r="Q471" i="1"/>
  <c r="R471" i="1"/>
  <c r="S471" i="1"/>
</calcChain>
</file>

<file path=xl/sharedStrings.xml><?xml version="1.0" encoding="utf-8"?>
<sst xmlns="http://schemas.openxmlformats.org/spreadsheetml/2006/main" count="2418" uniqueCount="598">
  <si>
    <t>City</t>
  </si>
  <si>
    <t>Port Blair (MC)</t>
  </si>
  <si>
    <t>03</t>
  </si>
  <si>
    <t>ANDAMAN &amp; NICOBAR ISLANDS</t>
  </si>
  <si>
    <t>35</t>
  </si>
  <si>
    <t>UA</t>
  </si>
  <si>
    <t>Puducherry UA</t>
  </si>
  <si>
    <t>02</t>
  </si>
  <si>
    <t>PUDUCHERRY</t>
  </si>
  <si>
    <t>34</t>
  </si>
  <si>
    <t>Nagapattinam (M)</t>
  </si>
  <si>
    <t>17</t>
  </si>
  <si>
    <t>TAMIL NADU</t>
  </si>
  <si>
    <t>33</t>
  </si>
  <si>
    <t>Ambur (M)</t>
  </si>
  <si>
    <t>04</t>
  </si>
  <si>
    <t>Vaniyambadi UA</t>
  </si>
  <si>
    <t>Pudukkottai (M)</t>
  </si>
  <si>
    <t>20</t>
  </si>
  <si>
    <t>Gudiyatham UA</t>
  </si>
  <si>
    <t>Rajapalayam (M)</t>
  </si>
  <si>
    <t>24</t>
  </si>
  <si>
    <t>Pollachi UA</t>
  </si>
  <si>
    <t>31</t>
  </si>
  <si>
    <t>Tiruvannamalai (M)</t>
  </si>
  <si>
    <t>05</t>
  </si>
  <si>
    <t>Kumbakonam UA</t>
  </si>
  <si>
    <t>19</t>
  </si>
  <si>
    <t>Cuddalore (M)</t>
  </si>
  <si>
    <t>16</t>
  </si>
  <si>
    <t>Neyveli UA</t>
  </si>
  <si>
    <t>Karaikkudi UA</t>
  </si>
  <si>
    <t>21</t>
  </si>
  <si>
    <t>Kumarapalayam UA</t>
  </si>
  <si>
    <t>08</t>
  </si>
  <si>
    <t>Kancheepuram UA</t>
  </si>
  <si>
    <t>Nagercoil (M)</t>
  </si>
  <si>
    <t>28</t>
  </si>
  <si>
    <t>Hosur UA</t>
  </si>
  <si>
    <t>30</t>
  </si>
  <si>
    <t>Udhagamandalam UA</t>
  </si>
  <si>
    <t>10</t>
  </si>
  <si>
    <t>Karur UA</t>
  </si>
  <si>
    <t>12</t>
  </si>
  <si>
    <t>Sivakasi UA</t>
  </si>
  <si>
    <t>Ranipet UA</t>
  </si>
  <si>
    <t>Thanjavur UA</t>
  </si>
  <si>
    <t>Dindigul UA</t>
  </si>
  <si>
    <t>11</t>
  </si>
  <si>
    <t>Thoothukkudi UA</t>
  </si>
  <si>
    <t>26</t>
  </si>
  <si>
    <t>Vellore UA</t>
  </si>
  <si>
    <t>Tirunelveli UA</t>
  </si>
  <si>
    <t>27</t>
  </si>
  <si>
    <t>Erode UA</t>
  </si>
  <si>
    <t>09</t>
  </si>
  <si>
    <t>Salem UA</t>
  </si>
  <si>
    <t>07</t>
  </si>
  <si>
    <t>Tiruppur UA</t>
  </si>
  <si>
    <t>Tiruchirappalli UA</t>
  </si>
  <si>
    <t>13</t>
  </si>
  <si>
    <t>Madurai UA</t>
  </si>
  <si>
    <t>22</t>
  </si>
  <si>
    <t>Coimbatore UA</t>
  </si>
  <si>
    <t>Chennai UA</t>
  </si>
  <si>
    <t>Kothamangalam UA</t>
  </si>
  <si>
    <t>KERALA</t>
  </si>
  <si>
    <t>32</t>
  </si>
  <si>
    <t>Chalakudy UA</t>
  </si>
  <si>
    <t>Changanassery UA</t>
  </si>
  <si>
    <t>Kasaragod UA</t>
  </si>
  <si>
    <t>01</t>
  </si>
  <si>
    <t>Kanhangad UA</t>
  </si>
  <si>
    <t>Ottappalam UA</t>
  </si>
  <si>
    <t>06</t>
  </si>
  <si>
    <t>Alappuzha UA</t>
  </si>
  <si>
    <t>Palakkad UA</t>
  </si>
  <si>
    <t>Kottayam UA</t>
  </si>
  <si>
    <t>Kayamkulam UA</t>
  </si>
  <si>
    <t>Cherthala UA</t>
  </si>
  <si>
    <t>Kollam UA</t>
  </si>
  <si>
    <t>Kannur UA</t>
  </si>
  <si>
    <t>Thiruvananthapuram UA</t>
  </si>
  <si>
    <t>Malappuram UA</t>
  </si>
  <si>
    <t>Thrissur UA</t>
  </si>
  <si>
    <t>Kozhikode UA</t>
  </si>
  <si>
    <t>Kochi UA</t>
  </si>
  <si>
    <t>Mormugao UA</t>
  </si>
  <si>
    <t>GOA</t>
  </si>
  <si>
    <t>Margao UA</t>
  </si>
  <si>
    <t>Panaji UA</t>
  </si>
  <si>
    <t>Ranibennur (CMC)</t>
  </si>
  <si>
    <t>KARNATAKA</t>
  </si>
  <si>
    <t>29</t>
  </si>
  <si>
    <t>Bagalkot (CMC)</t>
  </si>
  <si>
    <t>Gangawati UA</t>
  </si>
  <si>
    <t>Chikmagalur (CMC)</t>
  </si>
  <si>
    <t>Mandya (CMC)</t>
  </si>
  <si>
    <t>Kolar (CMC)</t>
  </si>
  <si>
    <t>Chitradurga UA</t>
  </si>
  <si>
    <t>Bhadravati (CMC)</t>
  </si>
  <si>
    <t>14</t>
  </si>
  <si>
    <t>Udupi UA</t>
  </si>
  <si>
    <t>15</t>
  </si>
  <si>
    <t>Robertson Pet UA</t>
  </si>
  <si>
    <t>Gadag-Betigeri (CMC)</t>
  </si>
  <si>
    <t>Hassan UA</t>
  </si>
  <si>
    <t>Hospet (CMC)</t>
  </si>
  <si>
    <t>Bidar UA</t>
  </si>
  <si>
    <t>Raichur (CMC)</t>
  </si>
  <si>
    <t>Tumkur (CMC)</t>
  </si>
  <si>
    <t>Shimoga (CMC)</t>
  </si>
  <si>
    <t>Bijapur (CMC)</t>
  </si>
  <si>
    <t>Bellary (M Corp.)</t>
  </si>
  <si>
    <t>Davanagere (M Corp.)</t>
  </si>
  <si>
    <t>Gulbarga UA</t>
  </si>
  <si>
    <t>25</t>
  </si>
  <si>
    <t>Belgaum UA</t>
  </si>
  <si>
    <t>Mangalore UA</t>
  </si>
  <si>
    <t>Hubli-Dharwad *(M Corp.)</t>
  </si>
  <si>
    <t>Mysore UA</t>
  </si>
  <si>
    <t>23</t>
  </si>
  <si>
    <t>BANGALORE UA</t>
  </si>
  <si>
    <t>18</t>
  </si>
  <si>
    <t>Chilakaluripet (M)</t>
  </si>
  <si>
    <t>ANDHRA PRADESH</t>
  </si>
  <si>
    <t>Tadepalligudem UA</t>
  </si>
  <si>
    <t>Jagtial UA</t>
  </si>
  <si>
    <t>Miryalaguda UA</t>
  </si>
  <si>
    <t>Suryapet UA</t>
  </si>
  <si>
    <t>Tadpatri (M)</t>
  </si>
  <si>
    <t>Siddipet UA</t>
  </si>
  <si>
    <t>Narasaraopet UA</t>
  </si>
  <si>
    <t>Gudivada (M)</t>
  </si>
  <si>
    <t>Kothagudem UA</t>
  </si>
  <si>
    <t>Dharmavaram (M)</t>
  </si>
  <si>
    <t>Guntakal (M)</t>
  </si>
  <si>
    <t>Adilabad UA</t>
  </si>
  <si>
    <t>Srikakulam UA</t>
  </si>
  <si>
    <t>Bhimavaram UA</t>
  </si>
  <si>
    <t>Hindupur (M)</t>
  </si>
  <si>
    <t>Nalgonda UA</t>
  </si>
  <si>
    <t>Chirala UA</t>
  </si>
  <si>
    <t>Mancherial UA</t>
  </si>
  <si>
    <t>Tenali (M)</t>
  </si>
  <si>
    <t>Machilipatnam (M)</t>
  </si>
  <si>
    <t>Chittoor UA</t>
  </si>
  <si>
    <t>Madanapalle UA</t>
  </si>
  <si>
    <t>Adoni UA</t>
  </si>
  <si>
    <t>Ongole UA</t>
  </si>
  <si>
    <t>Mahbubnagar UA</t>
  </si>
  <si>
    <t>Nandyal UA</t>
  </si>
  <si>
    <t>Proddatur UA</t>
  </si>
  <si>
    <t>Vizianagaram UA</t>
  </si>
  <si>
    <t>Eluru UA</t>
  </si>
  <si>
    <t>Ramagundam UA</t>
  </si>
  <si>
    <t>Khammam UA</t>
  </si>
  <si>
    <t>Karimnagar UA</t>
  </si>
  <si>
    <t>Nizamabad (M Corp.)</t>
  </si>
  <si>
    <t>Anantapur UA</t>
  </si>
  <si>
    <t>Kadapa UA</t>
  </si>
  <si>
    <t>Kakinada UA</t>
  </si>
  <si>
    <t>Tirupati UA</t>
  </si>
  <si>
    <t>Kurnool UA</t>
  </si>
  <si>
    <t>Rajahmundry UA</t>
  </si>
  <si>
    <t>Nellore UA</t>
  </si>
  <si>
    <t>Guntur UA</t>
  </si>
  <si>
    <t>Warangal UA</t>
  </si>
  <si>
    <t xml:space="preserve">Vijayawada UA </t>
  </si>
  <si>
    <t>GVMC (MC)</t>
  </si>
  <si>
    <t xml:space="preserve">Hyderabad UA </t>
  </si>
  <si>
    <t>Hinganghat (M Cl)</t>
  </si>
  <si>
    <t>MAHARASHTRA</t>
  </si>
  <si>
    <t>Udgir (M Cl)</t>
  </si>
  <si>
    <t>Wardha (M Cl)</t>
  </si>
  <si>
    <t>Nandurbar (M Cl)</t>
  </si>
  <si>
    <t>Osmanabad (M Cl)</t>
  </si>
  <si>
    <t>Achalpur (M Cl)</t>
  </si>
  <si>
    <t>Barshi (M Cl)</t>
  </si>
  <si>
    <t>Gondiya (M Cl)</t>
  </si>
  <si>
    <t>Kamptee UA</t>
  </si>
  <si>
    <t>Yavatmal UA</t>
  </si>
  <si>
    <t>Bid (M Cl)</t>
  </si>
  <si>
    <t>Satara UA</t>
  </si>
  <si>
    <t>Panvel (M Cl)</t>
  </si>
  <si>
    <t>CT</t>
  </si>
  <si>
    <t>Navi Mumbai Panvel Raigad (CT)</t>
  </si>
  <si>
    <t>Bhusawal UA</t>
  </si>
  <si>
    <t>Jalna (M Cl)</t>
  </si>
  <si>
    <t>Parbhani (M Cl)</t>
  </si>
  <si>
    <t>Chandrapur (M Cl)</t>
  </si>
  <si>
    <t>Ichalkaranji UA</t>
  </si>
  <si>
    <t>Dhule (M Corp.)</t>
  </si>
  <si>
    <t>Ahmadnagar UA</t>
  </si>
  <si>
    <t>Latur (M Cl)</t>
  </si>
  <si>
    <t>Akola (M Corp.)</t>
  </si>
  <si>
    <t>Jalgaon (M Corp.)</t>
  </si>
  <si>
    <t>Sangali UA</t>
  </si>
  <si>
    <t>Nanded Waghala (M Corp.)</t>
  </si>
  <si>
    <t>Kolhapur UA</t>
  </si>
  <si>
    <t>Malegaon UA</t>
  </si>
  <si>
    <t>Amravati (M Corp.)</t>
  </si>
  <si>
    <t>Bhiwandi UA</t>
  </si>
  <si>
    <t>Solapur (M Corp.)</t>
  </si>
  <si>
    <t>Aurangabad UA</t>
  </si>
  <si>
    <t>Vasai Virar City (M Corp.)</t>
  </si>
  <si>
    <t>Nashik UA</t>
  </si>
  <si>
    <t>Nagpur UA</t>
  </si>
  <si>
    <t>Pune UA</t>
  </si>
  <si>
    <t>Greater Mumbai UA</t>
  </si>
  <si>
    <t>Deesa (M)</t>
  </si>
  <si>
    <t>GUJARAT</t>
  </si>
  <si>
    <t>Gondal (M)</t>
  </si>
  <si>
    <t>Amreli UA</t>
  </si>
  <si>
    <t>Jetpur Navagadh (M)</t>
  </si>
  <si>
    <t>Dohad UA</t>
  </si>
  <si>
    <t>Botad (M)</t>
  </si>
  <si>
    <t>Patan UA</t>
  </si>
  <si>
    <t>Palanpur UA</t>
  </si>
  <si>
    <t>Anklesvar UA</t>
  </si>
  <si>
    <t>Godhra UA</t>
  </si>
  <si>
    <t>Vapi (M)</t>
  </si>
  <si>
    <t>Valsad UA</t>
  </si>
  <si>
    <t>Veraval UA</t>
  </si>
  <si>
    <t>Bhuj UA</t>
  </si>
  <si>
    <t>Mahesana UA</t>
  </si>
  <si>
    <t>Porbandar UA</t>
  </si>
  <si>
    <t>Bharuch UA</t>
  </si>
  <si>
    <t>Nadiad UA</t>
  </si>
  <si>
    <t>Morvi UA</t>
  </si>
  <si>
    <t>Gandhidham (M)</t>
  </si>
  <si>
    <t>Wadhwan UA</t>
  </si>
  <si>
    <t>Navsari UA</t>
  </si>
  <si>
    <t>Anand UA</t>
  </si>
  <si>
    <t>Junagadh (M Corp.)</t>
  </si>
  <si>
    <t>Jamnagar UA</t>
  </si>
  <si>
    <t>Bhavnagar UA</t>
  </si>
  <si>
    <t>Rajkot UA</t>
  </si>
  <si>
    <t>Vadodara UA</t>
  </si>
  <si>
    <t>Surat UA</t>
  </si>
  <si>
    <t>Ahmadabad UA</t>
  </si>
  <si>
    <t>Nagda (M)</t>
  </si>
  <si>
    <t>MADHYA PRADESH</t>
  </si>
  <si>
    <t>Datia (M)</t>
  </si>
  <si>
    <t>Seoni (M)</t>
  </si>
  <si>
    <t>39</t>
  </si>
  <si>
    <t>Betul (M)</t>
  </si>
  <si>
    <t>Sehore UA</t>
  </si>
  <si>
    <t>Itarsi UA</t>
  </si>
  <si>
    <t>Hoshangabad (M)</t>
  </si>
  <si>
    <t>Pithampur (M)</t>
  </si>
  <si>
    <t>Neemuch UA</t>
  </si>
  <si>
    <t>Khargone UA</t>
  </si>
  <si>
    <t>Mandsaur (M)</t>
  </si>
  <si>
    <t>Damoh UA</t>
  </si>
  <si>
    <t>Chhattarpur UA</t>
  </si>
  <si>
    <t>Vidisha (M)</t>
  </si>
  <si>
    <t>Shivpuri (M)</t>
  </si>
  <si>
    <t>Guna (M)</t>
  </si>
  <si>
    <t>41</t>
  </si>
  <si>
    <t>Chhindwara UA</t>
  </si>
  <si>
    <t>38</t>
  </si>
  <si>
    <t>Bhind (M)</t>
  </si>
  <si>
    <t>Morena (M)</t>
  </si>
  <si>
    <t>Khandwa (M Corp.)</t>
  </si>
  <si>
    <t>49</t>
  </si>
  <si>
    <t>Burhanpur (M Corp.)</t>
  </si>
  <si>
    <t>50</t>
  </si>
  <si>
    <t>Singrauli (M Corp.)</t>
  </si>
  <si>
    <t>46</t>
  </si>
  <si>
    <t>Murwara (Katni) (M Corp.)</t>
  </si>
  <si>
    <t>Rewa (M Corp.)</t>
  </si>
  <si>
    <t>Ratlam UA</t>
  </si>
  <si>
    <t>Satna UA</t>
  </si>
  <si>
    <t>Dewas (M Corp.)</t>
  </si>
  <si>
    <t>Sagar UA</t>
  </si>
  <si>
    <t>Ujjain (M Corp.)</t>
  </si>
  <si>
    <t>Gwalior UA</t>
  </si>
  <si>
    <t>Jabalpur UA</t>
  </si>
  <si>
    <t>Bhopal UA</t>
  </si>
  <si>
    <t>Indore UA</t>
  </si>
  <si>
    <t>Dhamtari UA</t>
  </si>
  <si>
    <t>CHHATTISGARH</t>
  </si>
  <si>
    <t>Ambikapur UA</t>
  </si>
  <si>
    <t>Jagdalpur (M Corp.)</t>
  </si>
  <si>
    <t>Raigarh UA</t>
  </si>
  <si>
    <t>Rajnandgaon (M Corp.)</t>
  </si>
  <si>
    <t>Korba UA</t>
  </si>
  <si>
    <t>Bilaspur UA</t>
  </si>
  <si>
    <t>Durg-Bhilainagar UA</t>
  </si>
  <si>
    <t>Raipur UA</t>
  </si>
  <si>
    <t>Baripada UA</t>
  </si>
  <si>
    <t>ORISSA</t>
  </si>
  <si>
    <t>Bhadrak UA</t>
  </si>
  <si>
    <t>Baleshwar UA</t>
  </si>
  <si>
    <t>Puri Town (M)</t>
  </si>
  <si>
    <t>Sambalpur UA</t>
  </si>
  <si>
    <t>Brahmapur Town (M Corp.)</t>
  </si>
  <si>
    <t>Raurkela UA</t>
  </si>
  <si>
    <t>Cuttack UA</t>
  </si>
  <si>
    <t>Bhubaneswar UA</t>
  </si>
  <si>
    <t>Chirkunda UA</t>
  </si>
  <si>
    <t>JHARKHAND</t>
  </si>
  <si>
    <t>Medini Nagar UA</t>
  </si>
  <si>
    <t>Ramgarh UA</t>
  </si>
  <si>
    <t>Giridih UA</t>
  </si>
  <si>
    <t>Hazaribag UA</t>
  </si>
  <si>
    <t>Phusro UA</t>
  </si>
  <si>
    <t>Deoghar (M Corp.)</t>
  </si>
  <si>
    <t>Bokaro Steel City UA</t>
  </si>
  <si>
    <t>Ranchi UA</t>
  </si>
  <si>
    <t>Dhanbad UA</t>
  </si>
  <si>
    <t>Jamshedpur UA</t>
  </si>
  <si>
    <t>99</t>
  </si>
  <si>
    <t>Koch Bihar UA</t>
  </si>
  <si>
    <t>WEST BENGAL</t>
  </si>
  <si>
    <t>Bongaon (M)</t>
  </si>
  <si>
    <t>Jangipur UA</t>
  </si>
  <si>
    <t>Puruliya UA</t>
  </si>
  <si>
    <t>Alipurduar UA</t>
  </si>
  <si>
    <t>Darjiling UA</t>
  </si>
  <si>
    <t>Chakdaha UA</t>
  </si>
  <si>
    <t>Bankura (M)</t>
  </si>
  <si>
    <t>Basirhat UA</t>
  </si>
  <si>
    <t>Balurghat UA</t>
  </si>
  <si>
    <t>Jalpaiguri UA</t>
  </si>
  <si>
    <t>Medinipur (M)</t>
  </si>
  <si>
    <t>Nabadwip UA</t>
  </si>
  <si>
    <t>Krishnanagar UA</t>
  </si>
  <si>
    <t>Raiganj UA</t>
  </si>
  <si>
    <t>Haldia (M)</t>
  </si>
  <si>
    <t>Ranaghat UA</t>
  </si>
  <si>
    <t>Dhulian UA</t>
  </si>
  <si>
    <t>Dankuni UA</t>
  </si>
  <si>
    <t>Santipur UA</t>
  </si>
  <si>
    <t>Kharagpur UA</t>
  </si>
  <si>
    <t>Habra UA</t>
  </si>
  <si>
    <t>Baharampur UA</t>
  </si>
  <si>
    <t>English Bazar UA</t>
  </si>
  <si>
    <t>Barddhaman UA</t>
  </si>
  <si>
    <t>Durgapur UA</t>
  </si>
  <si>
    <t>Siliguri UA</t>
  </si>
  <si>
    <t>Asansol UA</t>
  </si>
  <si>
    <t>Kolkata UA</t>
  </si>
  <si>
    <t>Tezpur UA</t>
  </si>
  <si>
    <t>ASSAM</t>
  </si>
  <si>
    <t>Tinsukia UA</t>
  </si>
  <si>
    <t>Nagaon UA</t>
  </si>
  <si>
    <t>Jorhat UA</t>
  </si>
  <si>
    <t>Dibrugarh UA</t>
  </si>
  <si>
    <t>Silchar UA</t>
  </si>
  <si>
    <t>Guwahati UA</t>
  </si>
  <si>
    <t>Shillong UA</t>
  </si>
  <si>
    <t>MEGHALAYA</t>
  </si>
  <si>
    <t>Agartala (M Cl)</t>
  </si>
  <si>
    <t>TRIPURA</t>
  </si>
  <si>
    <t>Aizawl (NT)</t>
  </si>
  <si>
    <t>MIZORAM</t>
  </si>
  <si>
    <t>Imphal UA</t>
  </si>
  <si>
    <t xml:space="preserve">MANIPUR </t>
  </si>
  <si>
    <t>Dimapur (MC)</t>
  </si>
  <si>
    <t>NAGALAND</t>
  </si>
  <si>
    <t>Aurangabad (NP)</t>
  </si>
  <si>
    <t>BIHAR</t>
  </si>
  <si>
    <t>Jehanabad (NP)</t>
  </si>
  <si>
    <t>37</t>
  </si>
  <si>
    <t>Jamalpur (NP)</t>
  </si>
  <si>
    <t>Sitamarhi UA</t>
  </si>
  <si>
    <t>Kishanganj (NP)</t>
  </si>
  <si>
    <t>Buxar UA</t>
  </si>
  <si>
    <t>Bagaha (NP)</t>
  </si>
  <si>
    <t>Nawada UA</t>
  </si>
  <si>
    <t>Motihari (NP)</t>
  </si>
  <si>
    <t>Siwan (NP)</t>
  </si>
  <si>
    <t>Dehri (NP)</t>
  </si>
  <si>
    <t>Hajipur (NP)</t>
  </si>
  <si>
    <t>Sasaram (NP)</t>
  </si>
  <si>
    <t>Saharsa (NP)</t>
  </si>
  <si>
    <t>Bettiah UA</t>
  </si>
  <si>
    <t>Chapra UA</t>
  </si>
  <si>
    <t>Munger (M Corp.)</t>
  </si>
  <si>
    <t>Katihar UA</t>
  </si>
  <si>
    <t>Begusarai (M Corp.)</t>
  </si>
  <si>
    <t>Arrah (M Corp.)</t>
  </si>
  <si>
    <t>Biharsharif (M Corp.)</t>
  </si>
  <si>
    <t>Darbhanga UA</t>
  </si>
  <si>
    <t>Purnia UA</t>
  </si>
  <si>
    <t>Muzaffarpur UA</t>
  </si>
  <si>
    <t>Bhagalpur UA</t>
  </si>
  <si>
    <t>Gaya UA</t>
  </si>
  <si>
    <t>Patna UA</t>
  </si>
  <si>
    <t>Kasganj (NPP)</t>
  </si>
  <si>
    <t>71</t>
  </si>
  <si>
    <t>UTTAR PRADESH</t>
  </si>
  <si>
    <t>Baraut (NPP)</t>
  </si>
  <si>
    <t>Shamli (NPP)</t>
  </si>
  <si>
    <t>Shikohabad (NPP)</t>
  </si>
  <si>
    <t>Greater Noida (CT)</t>
  </si>
  <si>
    <t>Mubarakpur UA</t>
  </si>
  <si>
    <t>60</t>
  </si>
  <si>
    <t>Ballia UA</t>
  </si>
  <si>
    <t>62</t>
  </si>
  <si>
    <t>Akbarpur (NPP)</t>
  </si>
  <si>
    <t>47</t>
  </si>
  <si>
    <t>Chandausi (NPP)</t>
  </si>
  <si>
    <t>Basti (NPP)</t>
  </si>
  <si>
    <t>54</t>
  </si>
  <si>
    <t>Bijnor UA</t>
  </si>
  <si>
    <t>Azamgarh UA</t>
  </si>
  <si>
    <t>Sultanpur UA</t>
  </si>
  <si>
    <t>48</t>
  </si>
  <si>
    <t>Ghazipur UA</t>
  </si>
  <si>
    <t>64</t>
  </si>
  <si>
    <t>Deoria (NPP)</t>
  </si>
  <si>
    <t>59</t>
  </si>
  <si>
    <t>Etah UA</t>
  </si>
  <si>
    <t>70</t>
  </si>
  <si>
    <t>Lalitpur (NPP)</t>
  </si>
  <si>
    <t>36</t>
  </si>
  <si>
    <t>Mainpuri UA</t>
  </si>
  <si>
    <t>Gonda UA</t>
  </si>
  <si>
    <t>52</t>
  </si>
  <si>
    <t>Khurja UA</t>
  </si>
  <si>
    <t>Barabanki UA</t>
  </si>
  <si>
    <t>45</t>
  </si>
  <si>
    <t>Mughalsarai UA</t>
  </si>
  <si>
    <t>65</t>
  </si>
  <si>
    <t>Budaun (NPP)</t>
  </si>
  <si>
    <t>Pilibhit UA</t>
  </si>
  <si>
    <t>Banda UA</t>
  </si>
  <si>
    <t>Hathras UA</t>
  </si>
  <si>
    <t>Lakhimpur UA</t>
  </si>
  <si>
    <t>Jaunpur (NPP)</t>
  </si>
  <si>
    <t>63</t>
  </si>
  <si>
    <t>Unnao (NPP)</t>
  </si>
  <si>
    <t>Modinagar UA</t>
  </si>
  <si>
    <t>Bahraich (NPP)</t>
  </si>
  <si>
    <t>Sitapur UA</t>
  </si>
  <si>
    <t>Orai UA</t>
  </si>
  <si>
    <t>Rae Bareli (NPP)</t>
  </si>
  <si>
    <t>Fatehpur (NPP)</t>
  </si>
  <si>
    <t>Hardoi UA</t>
  </si>
  <si>
    <t>Amroha (NPP)</t>
  </si>
  <si>
    <t>Sambhal (NPP)</t>
  </si>
  <si>
    <t>Bulandshahr UA</t>
  </si>
  <si>
    <t>Mirzapur-cum-Vindhyachal UA</t>
  </si>
  <si>
    <t>68</t>
  </si>
  <si>
    <t>Etawah (NPP)</t>
  </si>
  <si>
    <t>Faizabad UA</t>
  </si>
  <si>
    <t>Hapur (NPP)</t>
  </si>
  <si>
    <t>Maunath Bhanjan (NPP)</t>
  </si>
  <si>
    <t>61</t>
  </si>
  <si>
    <t>Farrukhabad-cum-Fatehgarh UA</t>
  </si>
  <si>
    <t>Shahjahanpur UA</t>
  </si>
  <si>
    <t>Rampur UA</t>
  </si>
  <si>
    <t>Mathura UA</t>
  </si>
  <si>
    <t>Muzaffarnagar UA</t>
  </si>
  <si>
    <t>Jhansi UA</t>
  </si>
  <si>
    <t>Firozabad (NPP)</t>
  </si>
  <si>
    <t>Noida (CT)</t>
  </si>
  <si>
    <t>Gorakhpur UA</t>
  </si>
  <si>
    <t>57</t>
  </si>
  <si>
    <t>Saharanpur (M Corp.)</t>
  </si>
  <si>
    <t>Moradabad (M Corp.)</t>
  </si>
  <si>
    <t>Aligarh UA</t>
  </si>
  <si>
    <t>Bareilly UA</t>
  </si>
  <si>
    <t>Allahabad UA</t>
  </si>
  <si>
    <t>44</t>
  </si>
  <si>
    <t>Meerut UA</t>
  </si>
  <si>
    <t>Varanasi UA</t>
  </si>
  <si>
    <t>66</t>
  </si>
  <si>
    <t>Agra UA</t>
  </si>
  <si>
    <t>Ghaziabad UA</t>
  </si>
  <si>
    <t>Lucknow UA</t>
  </si>
  <si>
    <t>Kanpur UA</t>
  </si>
  <si>
    <t>Banswara UA</t>
  </si>
  <si>
    <t>RAJASTHAN</t>
  </si>
  <si>
    <t>Sujangarh (M)</t>
  </si>
  <si>
    <t>Bundi UA</t>
  </si>
  <si>
    <t>Bhiwadi (M)</t>
  </si>
  <si>
    <t>Hindaun (M)</t>
  </si>
  <si>
    <t>Nagaur UA</t>
  </si>
  <si>
    <t>Makrana UA</t>
  </si>
  <si>
    <t>Chittaurgarh (M)</t>
  </si>
  <si>
    <t>Baran (M)</t>
  </si>
  <si>
    <t>Jhunjhunun (M Cl)</t>
  </si>
  <si>
    <t>Churu UA</t>
  </si>
  <si>
    <t>Sawai Madhopur (M)</t>
  </si>
  <si>
    <t>Gangapur City UA</t>
  </si>
  <si>
    <t>Dhaulpur UA</t>
  </si>
  <si>
    <t>Total Hanumangarh (M Cl)</t>
  </si>
  <si>
    <t>Beawar UA</t>
  </si>
  <si>
    <t>Kishangarh (M Cl)</t>
  </si>
  <si>
    <t>Tonk (M Cl)</t>
  </si>
  <si>
    <t>Pali (M Cl)</t>
  </si>
  <si>
    <t>Sikar UA</t>
  </si>
  <si>
    <t>Ganganagar UA</t>
  </si>
  <si>
    <t>Bharatpur UA</t>
  </si>
  <si>
    <t>Alwar UA</t>
  </si>
  <si>
    <t>Bhilwara (M Cl)</t>
  </si>
  <si>
    <t>Udaipur UA</t>
  </si>
  <si>
    <t>Ajmer UA</t>
  </si>
  <si>
    <t>Bikaner (M Corp.)</t>
  </si>
  <si>
    <t>Kota (M Corp.)</t>
  </si>
  <si>
    <t>Jodhpur UA</t>
  </si>
  <si>
    <t>Jaipur (M Corp.)</t>
  </si>
  <si>
    <t>Delhi UA</t>
  </si>
  <si>
    <t>NCT OF DELHI</t>
  </si>
  <si>
    <t>Palwal UA</t>
  </si>
  <si>
    <t>HARYANA</t>
  </si>
  <si>
    <t>Rewari (M Cl)</t>
  </si>
  <si>
    <t>Kaithal (M Cl)</t>
  </si>
  <si>
    <t>Thanesar (M Cl)</t>
  </si>
  <si>
    <t>Jind (M Cl)</t>
  </si>
  <si>
    <t>Bahadurgarh (M Cl)</t>
  </si>
  <si>
    <t>Sirsa (M Cl)</t>
  </si>
  <si>
    <t>Ambala (M Cl)</t>
  </si>
  <si>
    <t>Bhiwani (M Cl)</t>
  </si>
  <si>
    <t>Ambala UA</t>
  </si>
  <si>
    <t>Panchkula (M Cl)</t>
  </si>
  <si>
    <t>Sonipat UA</t>
  </si>
  <si>
    <t>Karnal UA</t>
  </si>
  <si>
    <t>Hisar UA</t>
  </si>
  <si>
    <t>Rohtak (M Cl)</t>
  </si>
  <si>
    <t>Yamunanagar UA</t>
  </si>
  <si>
    <t>Panipat UA</t>
  </si>
  <si>
    <t>Gurgaon UA</t>
  </si>
  <si>
    <t>Faridabad (M Corp.)</t>
  </si>
  <si>
    <t>Rishikesh UA</t>
  </si>
  <si>
    <t>UTTARAKHAND</t>
  </si>
  <si>
    <t>Kashipur (NPP)</t>
  </si>
  <si>
    <t>Rudrapur UA</t>
  </si>
  <si>
    <t>Haldwani-cum-Kathgodam UA</t>
  </si>
  <si>
    <t>Roorkee UA</t>
  </si>
  <si>
    <t>Hardwar UA</t>
  </si>
  <si>
    <t>Dehradun UA</t>
  </si>
  <si>
    <t>Chandigarh UA</t>
  </si>
  <si>
    <t>CHANDIGARH</t>
  </si>
  <si>
    <t>Kapurthala (M Cl)</t>
  </si>
  <si>
    <t>PUNJAB</t>
  </si>
  <si>
    <t>Firozpur (M Cl)</t>
  </si>
  <si>
    <t>Barnala (M Cl)</t>
  </si>
  <si>
    <t>Muktsar (M Cl)</t>
  </si>
  <si>
    <t>Phagwara UA</t>
  </si>
  <si>
    <t>Khanna (M Cl)</t>
  </si>
  <si>
    <t>Malerkotla (M Cl)</t>
  </si>
  <si>
    <t>Abohar (M Cl)</t>
  </si>
  <si>
    <t>Batala UA</t>
  </si>
  <si>
    <t>Moga UA</t>
  </si>
  <si>
    <t>Pathankot UA</t>
  </si>
  <si>
    <t>Hoshiarpur (M Cl)</t>
  </si>
  <si>
    <t>S.A.S. Nagar UA</t>
  </si>
  <si>
    <t>Bathinda (M Corp.)</t>
  </si>
  <si>
    <t>Patiala UA</t>
  </si>
  <si>
    <t>Jalandhar UA</t>
  </si>
  <si>
    <t>Amritsar UA</t>
  </si>
  <si>
    <t>Ludhiana (M Corp.)</t>
  </si>
  <si>
    <t>Shimla UA</t>
  </si>
  <si>
    <t>HIMACHAL PRADESH</t>
  </si>
  <si>
    <t>Anantnag UA</t>
  </si>
  <si>
    <t>JAMMU &amp; KASHMIR</t>
  </si>
  <si>
    <t>Jammu UA</t>
  </si>
  <si>
    <t>Srinagar UA</t>
  </si>
  <si>
    <t>Literacy Rate Females</t>
  </si>
  <si>
    <t>Literacy Rate Males</t>
  </si>
  <si>
    <t>Literacy Rate Persons</t>
  </si>
  <si>
    <t>Child Sex Ratio 0to6 Years</t>
  </si>
  <si>
    <t>Sex Ratio</t>
  </si>
  <si>
    <t>Literates Females</t>
  </si>
  <si>
    <t>Literates Males</t>
  </si>
  <si>
    <t>Literates Persons</t>
  </si>
  <si>
    <t>0to6 Population Females</t>
  </si>
  <si>
    <t>0to6 Population Males</t>
  </si>
  <si>
    <t>0to6 Population Persons</t>
  </si>
  <si>
    <t>Population Females</t>
  </si>
  <si>
    <t>Population Males</t>
  </si>
  <si>
    <t>Population  Persons</t>
  </si>
  <si>
    <t>Level</t>
  </si>
  <si>
    <t>Name of Urban Agglomeration/City</t>
  </si>
  <si>
    <t>District Code</t>
  </si>
  <si>
    <t>State Name</t>
  </si>
  <si>
    <t>State Code</t>
  </si>
  <si>
    <t>Urban Agglomerations/Cities 
having population 1 lakh and above</t>
  </si>
  <si>
    <t>Provisional Population Totals, Census of India 2011</t>
  </si>
  <si>
    <t>Select "Macro" Sheet</t>
  </si>
  <si>
    <t>Task - 1</t>
  </si>
  <si>
    <t>Task - 2</t>
  </si>
  <si>
    <t>Task - 3</t>
  </si>
  <si>
    <t>Create button to Run the Macro and assign recorded Macro with it</t>
  </si>
  <si>
    <r>
      <t xml:space="preserve">In </t>
    </r>
    <r>
      <rPr>
        <b/>
        <sz val="18"/>
        <color theme="1"/>
        <rFont val="Calibri"/>
        <family val="2"/>
        <scheme val="minor"/>
      </rPr>
      <t>A1</t>
    </r>
    <r>
      <rPr>
        <sz val="18"/>
        <color theme="1"/>
        <rFont val="Calibri"/>
        <family val="2"/>
        <scheme val="minor"/>
      </rPr>
      <t xml:space="preserve"> Cell, bring all </t>
    </r>
    <r>
      <rPr>
        <u/>
        <sz val="18"/>
        <color rgb="FFFF0000"/>
        <rFont val="Calibri"/>
        <family val="2"/>
        <scheme val="minor"/>
      </rPr>
      <t>unique</t>
    </r>
    <r>
      <rPr>
        <sz val="18"/>
        <color theme="1"/>
        <rFont val="Calibri"/>
        <family val="2"/>
        <scheme val="minor"/>
      </rPr>
      <t xml:space="preserve"> </t>
    </r>
    <r>
      <rPr>
        <b/>
        <sz val="18"/>
        <color theme="1"/>
        <rFont val="Calibri"/>
        <family val="2"/>
        <scheme val="minor"/>
      </rPr>
      <t>State Name</t>
    </r>
    <r>
      <rPr>
        <sz val="18"/>
        <color theme="1"/>
        <rFont val="Calibri"/>
        <family val="2"/>
        <scheme val="minor"/>
      </rPr>
      <t xml:space="preserve"> records </t>
    </r>
    <r>
      <rPr>
        <b/>
        <sz val="18"/>
        <color theme="1"/>
        <rFont val="Calibri"/>
        <family val="2"/>
        <scheme val="minor"/>
      </rPr>
      <t>from Sheet "DATA",</t>
    </r>
    <r>
      <rPr>
        <sz val="18"/>
        <color theme="1"/>
        <rFont val="Calibri"/>
        <family val="2"/>
        <scheme val="minor"/>
      </rPr>
      <t xml:space="preserve"> using Advance Filter (with header).</t>
    </r>
  </si>
  <si>
    <r>
      <t xml:space="preserve">Copy &amp; Paste header in cell </t>
    </r>
    <r>
      <rPr>
        <b/>
        <sz val="18"/>
        <color theme="1"/>
        <rFont val="Calibri"/>
        <family val="2"/>
        <scheme val="minor"/>
      </rPr>
      <t>B1</t>
    </r>
  </si>
  <si>
    <r>
      <t>Select cell</t>
    </r>
    <r>
      <rPr>
        <b/>
        <sz val="18"/>
        <color theme="1"/>
        <rFont val="Calibri"/>
        <family val="2"/>
        <scheme val="minor"/>
      </rPr>
      <t xml:space="preserve"> B2</t>
    </r>
    <r>
      <rPr>
        <sz val="18"/>
        <color theme="1"/>
        <rFont val="Calibri"/>
        <family val="2"/>
        <scheme val="minor"/>
      </rPr>
      <t xml:space="preserve">, create drop down of all unique records present in </t>
    </r>
    <r>
      <rPr>
        <b/>
        <sz val="18"/>
        <color theme="1"/>
        <rFont val="Calibri"/>
        <family val="2"/>
        <scheme val="minor"/>
      </rPr>
      <t>A column</t>
    </r>
    <r>
      <rPr>
        <sz val="18"/>
        <color theme="1"/>
        <rFont val="Calibri"/>
        <family val="2"/>
        <scheme val="minor"/>
      </rPr>
      <t>.</t>
    </r>
  </si>
  <si>
    <r>
      <t xml:space="preserve">List Range     </t>
    </r>
    <r>
      <rPr>
        <sz val="18"/>
        <color rgb="FFFF0000"/>
        <rFont val="Calibri"/>
        <family val="2"/>
        <scheme val="minor"/>
      </rPr>
      <t>A3:S471</t>
    </r>
  </si>
  <si>
    <r>
      <t xml:space="preserve">         Use Criteria range - </t>
    </r>
    <r>
      <rPr>
        <sz val="18"/>
        <color rgb="FFFF0000"/>
        <rFont val="Calibri"/>
        <family val="2"/>
        <scheme val="minor"/>
      </rPr>
      <t>B1:B2</t>
    </r>
  </si>
  <si>
    <r>
      <t xml:space="preserve">Record a Macro to get filterd records in cell </t>
    </r>
    <r>
      <rPr>
        <sz val="18"/>
        <color rgb="FFFF0000"/>
        <rFont val="Calibri"/>
        <family val="2"/>
        <scheme val="minor"/>
      </rPr>
      <t>C1</t>
    </r>
    <r>
      <rPr>
        <sz val="18"/>
        <color theme="1"/>
        <rFont val="Calibri"/>
        <family val="2"/>
        <scheme val="minor"/>
      </rPr>
      <t xml:space="preserve"> of "Macro" sheet.</t>
    </r>
  </si>
  <si>
    <t>Select different State names and get filtered data using button.</t>
  </si>
  <si>
    <t>Task - 4</t>
  </si>
  <si>
    <t>Save Workbook as Macro 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</si>
</sst>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i/>
      <sz val="10"/>
      <color indexed="8"/>
      <name val="Calibri"/>
      <family val="2"/>
      <scheme val="minor"/>
    </font>
    <font>
      <sz val="12"/>
      <name val="Times New Roman"/>
      <family val="1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8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8" fillId="0" borderId="0"/>
    <xf numFmtId="0" fontId="9" fillId="0" borderId="0"/>
    <xf numFmtId="0" fontId="1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11" fillId="0" borderId="0"/>
  </cellStyleXfs>
  <cellXfs count="94">
    <xf numFmtId="0" fontId="0" fillId="0" borderId="0" xfId="0"/>
    <xf numFmtId="0" fontId="0" fillId="0" borderId="0" xfId="0" applyNumberFormat="1" applyFont="1" applyFill="1" applyAlignment="1">
      <alignment vertical="top"/>
    </xf>
    <xf numFmtId="0" fontId="0" fillId="0" borderId="0" xfId="0" applyNumberFormat="1" applyFont="1" applyFill="1" applyAlignment="1">
      <alignment horizontal="center" vertical="top"/>
    </xf>
    <xf numFmtId="49" fontId="3" fillId="0" borderId="0" xfId="0" applyNumberFormat="1" applyFont="1" applyAlignment="1">
      <alignment horizontal="left"/>
    </xf>
    <xf numFmtId="3" fontId="0" fillId="0" borderId="0" xfId="0" applyNumberFormat="1" applyFont="1" applyFill="1" applyAlignment="1">
      <alignment vertical="top"/>
    </xf>
    <xf numFmtId="0" fontId="4" fillId="0" borderId="0" xfId="0" applyNumberFormat="1" applyFont="1" applyFill="1" applyAlignment="1">
      <alignment vertical="center"/>
    </xf>
    <xf numFmtId="0" fontId="0" fillId="0" borderId="0" xfId="0" applyFont="1" applyFill="1"/>
    <xf numFmtId="0" fontId="2" fillId="0" borderId="0" xfId="0" applyFont="1" applyFill="1" applyBorder="1"/>
    <xf numFmtId="0" fontId="13" fillId="0" borderId="0" xfId="0" applyFont="1" applyFill="1" applyAlignment="1">
      <alignment horizontal="center"/>
    </xf>
    <xf numFmtId="0" fontId="13" fillId="0" borderId="0" xfId="0" applyFont="1" applyFill="1" applyBorder="1" applyAlignment="1"/>
    <xf numFmtId="0" fontId="0" fillId="0" borderId="0" xfId="0" applyFont="1" applyFill="1" applyAlignment="1">
      <alignment horizontal="center"/>
    </xf>
    <xf numFmtId="0" fontId="14" fillId="0" borderId="0" xfId="0" applyFont="1" applyFill="1"/>
    <xf numFmtId="0" fontId="15" fillId="0" borderId="0" xfId="0" applyFont="1"/>
    <xf numFmtId="0" fontId="15" fillId="0" borderId="0" xfId="0" applyFont="1" applyAlignment="1">
      <alignment horizontal="center" vertical="center"/>
    </xf>
    <xf numFmtId="49" fontId="12" fillId="2" borderId="1" xfId="0" applyNumberFormat="1" applyFont="1" applyFill="1" applyBorder="1" applyAlignment="1">
      <alignment vertical="top" wrapText="1"/>
    </xf>
    <xf numFmtId="0" fontId="6" fillId="0" borderId="1" xfId="0" applyFont="1" applyFill="1" applyBorder="1" applyAlignment="1">
      <alignment vertical="center"/>
    </xf>
    <xf numFmtId="0" fontId="5" fillId="0" borderId="1" xfId="0" applyNumberFormat="1" applyFont="1" applyFill="1" applyBorder="1" applyAlignment="1">
      <alignment horizontal="left" vertical="center"/>
    </xf>
    <xf numFmtId="0" fontId="6" fillId="0" borderId="1" xfId="2" applyNumberFormat="1" applyFont="1" applyFill="1" applyBorder="1" applyAlignment="1">
      <alignment horizontal="left" vertical="center"/>
    </xf>
    <xf numFmtId="49" fontId="6" fillId="0" borderId="1" xfId="0" applyNumberFormat="1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164" fontId="12" fillId="2" borderId="1" xfId="0" applyNumberFormat="1" applyFont="1" applyFill="1" applyBorder="1" applyAlignment="1">
      <alignment vertical="top" wrapText="1"/>
    </xf>
    <xf numFmtId="0" fontId="12" fillId="2" borderId="1" xfId="0" applyFont="1" applyFill="1" applyBorder="1" applyAlignment="1">
      <alignment vertical="top" wrapText="1"/>
    </xf>
    <xf numFmtId="0" fontId="1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5" fillId="0" borderId="1" xfId="0" quotePrefix="1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vertical="center"/>
    </xf>
    <xf numFmtId="0" fontId="6" fillId="0" borderId="1" xfId="0" applyNumberFormat="1" applyFont="1" applyFill="1" applyBorder="1" applyAlignment="1">
      <alignment horizontal="center" vertical="center"/>
    </xf>
    <xf numFmtId="3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2" fontId="4" fillId="0" borderId="1" xfId="0" applyNumberFormat="1" applyFont="1" applyFill="1" applyBorder="1" applyAlignment="1">
      <alignment horizontal="center" vertical="center"/>
    </xf>
    <xf numFmtId="164" fontId="6" fillId="0" borderId="1" xfId="2" quotePrefix="1" applyNumberFormat="1" applyFont="1" applyFill="1" applyBorder="1" applyAlignment="1">
      <alignment horizontal="center" vertical="center"/>
    </xf>
    <xf numFmtId="0" fontId="6" fillId="0" borderId="1" xfId="2" applyNumberFormat="1" applyFont="1" applyFill="1" applyBorder="1" applyAlignment="1">
      <alignment vertical="center"/>
    </xf>
    <xf numFmtId="3" fontId="5" fillId="0" borderId="1" xfId="2" applyNumberFormat="1" applyFont="1" applyFill="1" applyBorder="1" applyAlignment="1">
      <alignment horizontal="center" vertical="center"/>
    </xf>
    <xf numFmtId="164" fontId="5" fillId="0" borderId="1" xfId="1" applyNumberFormat="1" applyFont="1" applyFill="1" applyBorder="1" applyAlignment="1">
      <alignment horizontal="center" vertical="center"/>
    </xf>
    <xf numFmtId="0" fontId="6" fillId="0" borderId="1" xfId="1" applyNumberFormat="1" applyFont="1" applyFill="1" applyBorder="1" applyAlignment="1">
      <alignment vertical="center" wrapText="1"/>
    </xf>
    <xf numFmtId="0" fontId="6" fillId="0" borderId="1" xfId="1" applyNumberFormat="1" applyFont="1" applyFill="1" applyBorder="1" applyAlignment="1">
      <alignment horizontal="center" vertical="center" wrapText="1"/>
    </xf>
    <xf numFmtId="3" fontId="5" fillId="0" borderId="1" xfId="1" applyNumberFormat="1" applyFont="1" applyFill="1" applyBorder="1" applyAlignment="1">
      <alignment horizontal="center" vertical="center"/>
    </xf>
    <xf numFmtId="0" fontId="6" fillId="0" borderId="1" xfId="1" applyNumberFormat="1" applyFont="1" applyFill="1" applyBorder="1" applyAlignment="1">
      <alignment vertical="center"/>
    </xf>
    <xf numFmtId="0" fontId="5" fillId="0" borderId="1" xfId="0" quotePrefix="1" applyFont="1" applyFill="1" applyBorder="1" applyAlignment="1">
      <alignment horizontal="center" vertical="center"/>
    </xf>
    <xf numFmtId="0" fontId="6" fillId="0" borderId="1" xfId="2" quotePrefix="1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vertical="center" wrapText="1"/>
    </xf>
    <xf numFmtId="3" fontId="5" fillId="0" borderId="1" xfId="0" applyNumberFormat="1" applyFont="1" applyFill="1" applyBorder="1" applyAlignment="1">
      <alignment horizontal="center" vertical="center" wrapText="1"/>
    </xf>
    <xf numFmtId="0" fontId="6" fillId="0" borderId="1" xfId="13" applyNumberFormat="1" applyFont="1" applyFill="1" applyBorder="1" applyAlignment="1">
      <alignment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6" fillId="0" borderId="1" xfId="0" quotePrefix="1" applyFont="1" applyFill="1" applyBorder="1" applyAlignment="1">
      <alignment horizontal="center" vertical="center" wrapText="1"/>
    </xf>
    <xf numFmtId="0" fontId="6" fillId="0" borderId="1" xfId="2" applyNumberFormat="1" applyFont="1" applyFill="1" applyBorder="1" applyAlignment="1">
      <alignment vertical="center" wrapText="1"/>
    </xf>
    <xf numFmtId="3" fontId="5" fillId="0" borderId="1" xfId="2" applyNumberFormat="1" applyFont="1" applyFill="1" applyBorder="1" applyAlignment="1">
      <alignment horizontal="center" vertical="center" wrapText="1"/>
    </xf>
    <xf numFmtId="0" fontId="6" fillId="0" borderId="1" xfId="12" quotePrefix="1" applyFont="1" applyFill="1" applyBorder="1" applyAlignment="1">
      <alignment horizontal="center" vertical="center"/>
    </xf>
    <xf numFmtId="3" fontId="10" fillId="0" borderId="1" xfId="0" applyNumberFormat="1" applyFont="1" applyFill="1" applyBorder="1" applyAlignment="1">
      <alignment horizontal="center" vertical="center" wrapText="1"/>
    </xf>
    <xf numFmtId="0" fontId="6" fillId="0" borderId="1" xfId="11" applyNumberFormat="1" applyFont="1" applyFill="1" applyBorder="1" applyAlignment="1">
      <alignment vertical="center"/>
    </xf>
    <xf numFmtId="3" fontId="5" fillId="0" borderId="1" xfId="11" applyNumberFormat="1" applyFont="1" applyFill="1" applyBorder="1" applyAlignment="1">
      <alignment horizontal="center" vertical="center"/>
    </xf>
    <xf numFmtId="0" fontId="6" fillId="0" borderId="1" xfId="10" applyNumberFormat="1" applyFont="1" applyFill="1" applyBorder="1" applyAlignment="1">
      <alignment vertical="center" wrapText="1"/>
    </xf>
    <xf numFmtId="3" fontId="5" fillId="0" borderId="1" xfId="10" applyNumberFormat="1" applyFont="1" applyFill="1" applyBorder="1" applyAlignment="1">
      <alignment horizontal="center" vertical="center"/>
    </xf>
    <xf numFmtId="3" fontId="5" fillId="0" borderId="1" xfId="10" applyNumberFormat="1" applyFont="1" applyFill="1" applyBorder="1" applyAlignment="1">
      <alignment horizontal="center" vertical="center" wrapText="1"/>
    </xf>
    <xf numFmtId="0" fontId="6" fillId="0" borderId="1" xfId="0" quotePrefix="1" applyFont="1" applyFill="1" applyBorder="1" applyAlignment="1">
      <alignment horizontal="center" vertical="center"/>
    </xf>
    <xf numFmtId="164" fontId="5" fillId="0" borderId="1" xfId="9" applyNumberFormat="1" applyFont="1" applyFill="1" applyBorder="1" applyAlignment="1">
      <alignment horizontal="center" vertical="center" wrapText="1"/>
    </xf>
    <xf numFmtId="0" fontId="6" fillId="0" borderId="1" xfId="9" applyNumberFormat="1" applyFont="1" applyFill="1" applyBorder="1" applyAlignment="1">
      <alignment vertical="center" wrapText="1"/>
    </xf>
    <xf numFmtId="3" fontId="5" fillId="0" borderId="1" xfId="9" applyNumberFormat="1" applyFont="1" applyFill="1" applyBorder="1" applyAlignment="1">
      <alignment horizontal="center" vertical="center" wrapText="1"/>
    </xf>
    <xf numFmtId="3" fontId="5" fillId="0" borderId="1" xfId="8" applyNumberFormat="1" applyFont="1" applyFill="1" applyBorder="1" applyAlignment="1">
      <alignment horizontal="center" vertical="center" wrapText="1"/>
    </xf>
    <xf numFmtId="0" fontId="6" fillId="0" borderId="1" xfId="2" applyFont="1" applyFill="1" applyBorder="1" applyAlignment="1">
      <alignment horizontal="center" vertical="center"/>
    </xf>
    <xf numFmtId="49" fontId="6" fillId="0" borderId="1" xfId="0" quotePrefix="1" applyNumberFormat="1" applyFont="1" applyFill="1" applyBorder="1" applyAlignment="1">
      <alignment horizontal="center" vertical="center"/>
    </xf>
    <xf numFmtId="49" fontId="6" fillId="0" borderId="1" xfId="2" applyNumberFormat="1" applyFont="1" applyFill="1" applyBorder="1" applyAlignment="1">
      <alignment horizontal="center" vertical="center" wrapText="1"/>
    </xf>
    <xf numFmtId="0" fontId="6" fillId="0" borderId="1" xfId="2" quotePrefix="1" applyFont="1" applyFill="1" applyBorder="1" applyAlignment="1">
      <alignment horizontal="center" vertical="center" wrapText="1"/>
    </xf>
    <xf numFmtId="3" fontId="6" fillId="0" borderId="1" xfId="2" applyNumberFormat="1" applyFont="1" applyFill="1" applyBorder="1" applyAlignment="1">
      <alignment horizontal="center" vertical="center" wrapText="1"/>
    </xf>
    <xf numFmtId="49" fontId="6" fillId="0" borderId="1" xfId="2" quotePrefix="1" applyNumberFormat="1" applyFont="1" applyFill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left" vertical="center"/>
    </xf>
    <xf numFmtId="49" fontId="6" fillId="0" borderId="1" xfId="6" applyNumberFormat="1" applyFont="1" applyFill="1" applyBorder="1" applyAlignment="1">
      <alignment horizontal="center" vertical="center"/>
    </xf>
    <xf numFmtId="0" fontId="6" fillId="0" borderId="1" xfId="6" applyNumberFormat="1" applyFont="1" applyFill="1" applyBorder="1" applyAlignment="1">
      <alignment vertical="center"/>
    </xf>
    <xf numFmtId="3" fontId="5" fillId="0" borderId="1" xfId="6" applyNumberFormat="1" applyFont="1" applyFill="1" applyBorder="1" applyAlignment="1">
      <alignment horizontal="center" vertical="center"/>
    </xf>
    <xf numFmtId="49" fontId="6" fillId="0" borderId="1" xfId="7" applyNumberFormat="1" applyFont="1" applyFill="1" applyBorder="1" applyAlignment="1">
      <alignment horizontal="center" vertical="center"/>
    </xf>
    <xf numFmtId="0" fontId="6" fillId="0" borderId="1" xfId="5" quotePrefix="1" applyFont="1" applyFill="1" applyBorder="1" applyAlignment="1">
      <alignment horizontal="center" vertical="center"/>
    </xf>
    <xf numFmtId="0" fontId="6" fillId="0" borderId="1" xfId="5" quotePrefix="1" applyNumberFormat="1" applyFont="1" applyFill="1" applyBorder="1" applyAlignment="1">
      <alignment vertical="center" wrapText="1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3" fontId="5" fillId="0" borderId="1" xfId="0" quotePrefix="1" applyNumberFormat="1" applyFont="1" applyFill="1" applyBorder="1" applyAlignment="1">
      <alignment horizontal="center" vertical="center" wrapText="1"/>
    </xf>
    <xf numFmtId="3" fontId="5" fillId="0" borderId="1" xfId="0" quotePrefix="1" applyNumberFormat="1" applyFont="1" applyFill="1" applyBorder="1" applyAlignment="1">
      <alignment horizontal="center" vertical="center"/>
    </xf>
    <xf numFmtId="0" fontId="6" fillId="0" borderId="1" xfId="5" applyNumberFormat="1" applyFont="1" applyFill="1" applyBorder="1" applyAlignment="1">
      <alignment vertical="center" shrinkToFit="1"/>
    </xf>
    <xf numFmtId="3" fontId="5" fillId="0" borderId="1" xfId="5" applyNumberFormat="1" applyFont="1" applyFill="1" applyBorder="1" applyAlignment="1">
      <alignment horizontal="center" vertical="center"/>
    </xf>
    <xf numFmtId="0" fontId="5" fillId="0" borderId="1" xfId="5" applyFont="1" applyFill="1" applyBorder="1" applyAlignment="1">
      <alignment horizontal="center" vertical="center" shrinkToFit="1"/>
    </xf>
    <xf numFmtId="0" fontId="5" fillId="0" borderId="1" xfId="5" quotePrefix="1" applyFont="1" applyFill="1" applyBorder="1" applyAlignment="1">
      <alignment horizontal="center" vertical="center" shrinkToFit="1"/>
    </xf>
    <xf numFmtId="3" fontId="5" fillId="0" borderId="1" xfId="5" applyNumberFormat="1" applyFont="1" applyFill="1" applyBorder="1" applyAlignment="1">
      <alignment horizontal="center" vertical="center" shrinkToFit="1"/>
    </xf>
    <xf numFmtId="0" fontId="6" fillId="0" borderId="1" xfId="5" applyFont="1" applyFill="1" applyBorder="1" applyAlignment="1">
      <alignment horizontal="center" vertical="center" shrinkToFit="1"/>
    </xf>
    <xf numFmtId="0" fontId="5" fillId="0" borderId="1" xfId="2" applyNumberFormat="1" applyFont="1" applyFill="1" applyBorder="1" applyAlignment="1">
      <alignment vertical="center" wrapText="1"/>
    </xf>
    <xf numFmtId="3" fontId="5" fillId="0" borderId="1" xfId="4" applyNumberFormat="1" applyFont="1" applyFill="1" applyBorder="1" applyAlignment="1">
      <alignment horizontal="center" vertical="center"/>
    </xf>
    <xf numFmtId="3" fontId="5" fillId="0" borderId="1" xfId="3" applyNumberFormat="1" applyFont="1" applyFill="1" applyBorder="1" applyAlignment="1">
      <alignment horizontal="center" vertical="center"/>
    </xf>
    <xf numFmtId="49" fontId="6" fillId="0" borderId="1" xfId="2" quotePrefix="1" applyNumberFormat="1" applyFont="1" applyFill="1" applyBorder="1" applyAlignment="1">
      <alignment horizontal="center" vertical="center"/>
    </xf>
    <xf numFmtId="49" fontId="5" fillId="0" borderId="1" xfId="0" quotePrefix="1" applyNumberFormat="1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49" fontId="12" fillId="2" borderId="2" xfId="0" applyNumberFormat="1" applyFont="1" applyFill="1" applyBorder="1" applyAlignment="1">
      <alignment vertical="top" wrapText="1"/>
    </xf>
    <xf numFmtId="0" fontId="6" fillId="0" borderId="2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left" vertical="top" wrapText="1"/>
    </xf>
  </cellXfs>
  <cellStyles count="14">
    <cellStyle name="Comma" xfId="1" builtinId="3"/>
    <cellStyle name="Normal" xfId="0" builtinId="0"/>
    <cellStyle name="Normal 164" xfId="13" xr:uid="{00000000-0005-0000-0000-000002000000}"/>
    <cellStyle name="Normal 2" xfId="2" xr:uid="{00000000-0005-0000-0000-000003000000}"/>
    <cellStyle name="Normal 2 2" xfId="7" xr:uid="{00000000-0005-0000-0000-000004000000}"/>
    <cellStyle name="Normal 2 3" xfId="6" xr:uid="{00000000-0005-0000-0000-000005000000}"/>
    <cellStyle name="Normal 3" xfId="5" xr:uid="{00000000-0005-0000-0000-000006000000}"/>
    <cellStyle name="Normal 7 3" xfId="3" xr:uid="{00000000-0005-0000-0000-000007000000}"/>
    <cellStyle name="Normal 83" xfId="4" xr:uid="{00000000-0005-0000-0000-000008000000}"/>
    <cellStyle name="Normal_PPT34-08-02" xfId="12" xr:uid="{00000000-0005-0000-0000-000009000000}"/>
    <cellStyle name="Normal_PT-3-14-Nagaur" xfId="10" xr:uid="{00000000-0005-0000-0000-00000A000000}"/>
    <cellStyle name="Normal_PT-34 Baran" xfId="11" xr:uid="{00000000-0005-0000-0000-00000B000000}"/>
    <cellStyle name="Normal_Sheet1" xfId="9" xr:uid="{00000000-0005-0000-0000-00000C000000}"/>
    <cellStyle name="Normal_Sheet7" xfId="8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5</xdr:row>
      <xdr:rowOff>114300</xdr:rowOff>
    </xdr:from>
    <xdr:to>
      <xdr:col>1</xdr:col>
      <xdr:colOff>1162050</xdr:colOff>
      <xdr:row>9</xdr:row>
      <xdr:rowOff>76200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E6A0D111-A5A6-481F-9C2F-BC225F545241}"/>
            </a:ext>
          </a:extLst>
        </xdr:cNvPr>
        <xdr:cNvSpPr/>
      </xdr:nvSpPr>
      <xdr:spPr>
        <a:xfrm>
          <a:off x="1447800" y="1352550"/>
          <a:ext cx="1085850" cy="83820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180974</xdr:colOff>
      <xdr:row>6</xdr:row>
      <xdr:rowOff>114300</xdr:rowOff>
    </xdr:from>
    <xdr:to>
      <xdr:col>1</xdr:col>
      <xdr:colOff>828674</xdr:colOff>
      <xdr:row>8</xdr:row>
      <xdr:rowOff>47626</xdr:rowOff>
    </xdr:to>
    <xdr:sp macro="[0]!Macro3" textlink="">
      <xdr:nvSpPr>
        <xdr:cNvPr id="3" name="Oval 2">
          <a:extLst>
            <a:ext uri="{FF2B5EF4-FFF2-40B4-BE49-F238E27FC236}">
              <a16:creationId xmlns:a16="http://schemas.microsoft.com/office/drawing/2014/main" id="{0B9BBAB5-82DE-4DAF-A1ED-B4F1EB319A62}"/>
            </a:ext>
          </a:extLst>
        </xdr:cNvPr>
        <xdr:cNvSpPr/>
      </xdr:nvSpPr>
      <xdr:spPr>
        <a:xfrm flipH="1">
          <a:off x="1552574" y="1600200"/>
          <a:ext cx="647700" cy="37147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4"/>
  <sheetViews>
    <sheetView showGridLines="0" topLeftCell="A7" workbookViewId="0"/>
  </sheetViews>
  <sheetFormatPr defaultRowHeight="23.25" x14ac:dyDescent="0.35"/>
  <cols>
    <col min="1" max="1" width="9.140625" style="12"/>
    <col min="2" max="2" width="16" style="13" customWidth="1"/>
    <col min="3" max="3" width="157" style="12" customWidth="1"/>
    <col min="4" max="16384" width="9.140625" style="12"/>
  </cols>
  <sheetData>
    <row r="2" spans="2:3" x14ac:dyDescent="0.35">
      <c r="B2" s="13" t="s">
        <v>585</v>
      </c>
      <c r="C2" s="12" t="s">
        <v>584</v>
      </c>
    </row>
    <row r="3" spans="2:3" x14ac:dyDescent="0.35">
      <c r="C3" s="12" t="s">
        <v>589</v>
      </c>
    </row>
    <row r="4" spans="2:3" x14ac:dyDescent="0.35">
      <c r="C4" s="12" t="s">
        <v>590</v>
      </c>
    </row>
    <row r="5" spans="2:3" x14ac:dyDescent="0.35">
      <c r="C5" s="12" t="s">
        <v>591</v>
      </c>
    </row>
    <row r="6" spans="2:3" ht="30.75" customHeight="1" x14ac:dyDescent="0.35"/>
    <row r="7" spans="2:3" x14ac:dyDescent="0.35">
      <c r="B7" s="13" t="s">
        <v>586</v>
      </c>
      <c r="C7" s="12" t="s">
        <v>594</v>
      </c>
    </row>
    <row r="8" spans="2:3" x14ac:dyDescent="0.35">
      <c r="C8" s="12" t="s">
        <v>592</v>
      </c>
    </row>
    <row r="9" spans="2:3" x14ac:dyDescent="0.35">
      <c r="C9" s="12" t="s">
        <v>593</v>
      </c>
    </row>
    <row r="10" spans="2:3" x14ac:dyDescent="0.35">
      <c r="C10" s="12" t="s">
        <v>588</v>
      </c>
    </row>
    <row r="11" spans="2:3" ht="30.75" customHeight="1" x14ac:dyDescent="0.35"/>
    <row r="12" spans="2:3" x14ac:dyDescent="0.35">
      <c r="B12" s="13" t="s">
        <v>587</v>
      </c>
      <c r="C12" s="12" t="s">
        <v>595</v>
      </c>
    </row>
    <row r="14" spans="2:3" x14ac:dyDescent="0.35">
      <c r="B14" s="13" t="s">
        <v>596</v>
      </c>
      <c r="C14" s="12" t="s">
        <v>597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473"/>
  <sheetViews>
    <sheetView showGridLines="0" topLeftCell="D453" workbookViewId="0">
      <selection activeCell="B10" sqref="B10"/>
    </sheetView>
  </sheetViews>
  <sheetFormatPr defaultRowHeight="15" x14ac:dyDescent="0.25"/>
  <cols>
    <col min="1" max="1" width="7.28515625" style="1" customWidth="1"/>
    <col min="2" max="2" width="21.5703125" style="1" bestFit="1" customWidth="1"/>
    <col min="3" max="3" width="8" style="1" bestFit="1" customWidth="1"/>
    <col min="4" max="4" width="27.140625" style="1" bestFit="1" customWidth="1"/>
    <col min="5" max="5" width="6" style="2" bestFit="1" customWidth="1"/>
    <col min="6" max="6" width="11.85546875" style="1" bestFit="1" customWidth="1"/>
    <col min="7" max="7" width="11.7109375" style="1" customWidth="1"/>
    <col min="8" max="8" width="12.28515625" style="1" customWidth="1"/>
    <col min="9" max="9" width="14" style="1" customWidth="1"/>
    <col min="10" max="10" width="14.28515625" style="1" bestFit="1" customWidth="1"/>
    <col min="11" max="11" width="12" style="1" customWidth="1"/>
    <col min="12" max="12" width="9.5703125" style="1" customWidth="1"/>
    <col min="13" max="13" width="10.28515625" style="1" customWidth="1"/>
    <col min="14" max="14" width="10.140625" style="1" customWidth="1"/>
    <col min="15" max="15" width="6.140625" style="1" customWidth="1"/>
    <col min="16" max="16" width="11.140625" style="1" customWidth="1"/>
    <col min="17" max="17" width="8.7109375" style="1" customWidth="1"/>
    <col min="18" max="18" width="9" style="1" customWidth="1"/>
    <col min="19" max="19" width="9.28515625" style="1" customWidth="1"/>
    <col min="20" max="256" width="9.140625" style="1"/>
    <col min="257" max="257" width="6.42578125" style="1" customWidth="1"/>
    <col min="258" max="258" width="18.7109375" style="1" customWidth="1"/>
    <col min="259" max="259" width="8.28515625" style="1" customWidth="1"/>
    <col min="260" max="260" width="24.85546875" style="1" customWidth="1"/>
    <col min="261" max="261" width="6" style="1" bestFit="1" customWidth="1"/>
    <col min="262" max="262" width="9.85546875" style="1" bestFit="1" customWidth="1"/>
    <col min="263" max="266" width="8.85546875" style="1" bestFit="1" customWidth="1"/>
    <col min="267" max="267" width="8.7109375" style="1" bestFit="1" customWidth="1"/>
    <col min="268" max="268" width="9.5703125" style="1" customWidth="1"/>
    <col min="269" max="270" width="8.85546875" style="1" bestFit="1" customWidth="1"/>
    <col min="271" max="271" width="6.140625" style="1" customWidth="1"/>
    <col min="272" max="272" width="10.85546875" style="1" customWidth="1"/>
    <col min="273" max="273" width="8.7109375" style="1" customWidth="1"/>
    <col min="274" max="274" width="7.140625" style="1" customWidth="1"/>
    <col min="275" max="275" width="8.7109375" style="1" bestFit="1" customWidth="1"/>
    <col min="276" max="512" width="9.140625" style="1"/>
    <col min="513" max="513" width="6.42578125" style="1" customWidth="1"/>
    <col min="514" max="514" width="18.7109375" style="1" customWidth="1"/>
    <col min="515" max="515" width="8.28515625" style="1" customWidth="1"/>
    <col min="516" max="516" width="24.85546875" style="1" customWidth="1"/>
    <col min="517" max="517" width="6" style="1" bestFit="1" customWidth="1"/>
    <col min="518" max="518" width="9.85546875" style="1" bestFit="1" customWidth="1"/>
    <col min="519" max="522" width="8.85546875" style="1" bestFit="1" customWidth="1"/>
    <col min="523" max="523" width="8.7109375" style="1" bestFit="1" customWidth="1"/>
    <col min="524" max="524" width="9.5703125" style="1" customWidth="1"/>
    <col min="525" max="526" width="8.85546875" style="1" bestFit="1" customWidth="1"/>
    <col min="527" max="527" width="6.140625" style="1" customWidth="1"/>
    <col min="528" max="528" width="10.85546875" style="1" customWidth="1"/>
    <col min="529" max="529" width="8.7109375" style="1" customWidth="1"/>
    <col min="530" max="530" width="7.140625" style="1" customWidth="1"/>
    <col min="531" max="531" width="8.7109375" style="1" bestFit="1" customWidth="1"/>
    <col min="532" max="768" width="9.140625" style="1"/>
    <col min="769" max="769" width="6.42578125" style="1" customWidth="1"/>
    <col min="770" max="770" width="18.7109375" style="1" customWidth="1"/>
    <col min="771" max="771" width="8.28515625" style="1" customWidth="1"/>
    <col min="772" max="772" width="24.85546875" style="1" customWidth="1"/>
    <col min="773" max="773" width="6" style="1" bestFit="1" customWidth="1"/>
    <col min="774" max="774" width="9.85546875" style="1" bestFit="1" customWidth="1"/>
    <col min="775" max="778" width="8.85546875" style="1" bestFit="1" customWidth="1"/>
    <col min="779" max="779" width="8.7109375" style="1" bestFit="1" customWidth="1"/>
    <col min="780" max="780" width="9.5703125" style="1" customWidth="1"/>
    <col min="781" max="782" width="8.85546875" style="1" bestFit="1" customWidth="1"/>
    <col min="783" max="783" width="6.140625" style="1" customWidth="1"/>
    <col min="784" max="784" width="10.85546875" style="1" customWidth="1"/>
    <col min="785" max="785" width="8.7109375" style="1" customWidth="1"/>
    <col min="786" max="786" width="7.140625" style="1" customWidth="1"/>
    <col min="787" max="787" width="8.7109375" style="1" bestFit="1" customWidth="1"/>
    <col min="788" max="1024" width="9.140625" style="1"/>
    <col min="1025" max="1025" width="6.42578125" style="1" customWidth="1"/>
    <col min="1026" max="1026" width="18.7109375" style="1" customWidth="1"/>
    <col min="1027" max="1027" width="8.28515625" style="1" customWidth="1"/>
    <col min="1028" max="1028" width="24.85546875" style="1" customWidth="1"/>
    <col min="1029" max="1029" width="6" style="1" bestFit="1" customWidth="1"/>
    <col min="1030" max="1030" width="9.85546875" style="1" bestFit="1" customWidth="1"/>
    <col min="1031" max="1034" width="8.85546875" style="1" bestFit="1" customWidth="1"/>
    <col min="1035" max="1035" width="8.7109375" style="1" bestFit="1" customWidth="1"/>
    <col min="1036" max="1036" width="9.5703125" style="1" customWidth="1"/>
    <col min="1037" max="1038" width="8.85546875" style="1" bestFit="1" customWidth="1"/>
    <col min="1039" max="1039" width="6.140625" style="1" customWidth="1"/>
    <col min="1040" max="1040" width="10.85546875" style="1" customWidth="1"/>
    <col min="1041" max="1041" width="8.7109375" style="1" customWidth="1"/>
    <col min="1042" max="1042" width="7.140625" style="1" customWidth="1"/>
    <col min="1043" max="1043" width="8.7109375" style="1" bestFit="1" customWidth="1"/>
    <col min="1044" max="1280" width="9.140625" style="1"/>
    <col min="1281" max="1281" width="6.42578125" style="1" customWidth="1"/>
    <col min="1282" max="1282" width="18.7109375" style="1" customWidth="1"/>
    <col min="1283" max="1283" width="8.28515625" style="1" customWidth="1"/>
    <col min="1284" max="1284" width="24.85546875" style="1" customWidth="1"/>
    <col min="1285" max="1285" width="6" style="1" bestFit="1" customWidth="1"/>
    <col min="1286" max="1286" width="9.85546875" style="1" bestFit="1" customWidth="1"/>
    <col min="1287" max="1290" width="8.85546875" style="1" bestFit="1" customWidth="1"/>
    <col min="1291" max="1291" width="8.7109375" style="1" bestFit="1" customWidth="1"/>
    <col min="1292" max="1292" width="9.5703125" style="1" customWidth="1"/>
    <col min="1293" max="1294" width="8.85546875" style="1" bestFit="1" customWidth="1"/>
    <col min="1295" max="1295" width="6.140625" style="1" customWidth="1"/>
    <col min="1296" max="1296" width="10.85546875" style="1" customWidth="1"/>
    <col min="1297" max="1297" width="8.7109375" style="1" customWidth="1"/>
    <col min="1298" max="1298" width="7.140625" style="1" customWidth="1"/>
    <col min="1299" max="1299" width="8.7109375" style="1" bestFit="1" customWidth="1"/>
    <col min="1300" max="1536" width="9.140625" style="1"/>
    <col min="1537" max="1537" width="6.42578125" style="1" customWidth="1"/>
    <col min="1538" max="1538" width="18.7109375" style="1" customWidth="1"/>
    <col min="1539" max="1539" width="8.28515625" style="1" customWidth="1"/>
    <col min="1540" max="1540" width="24.85546875" style="1" customWidth="1"/>
    <col min="1541" max="1541" width="6" style="1" bestFit="1" customWidth="1"/>
    <col min="1542" max="1542" width="9.85546875" style="1" bestFit="1" customWidth="1"/>
    <col min="1543" max="1546" width="8.85546875" style="1" bestFit="1" customWidth="1"/>
    <col min="1547" max="1547" width="8.7109375" style="1" bestFit="1" customWidth="1"/>
    <col min="1548" max="1548" width="9.5703125" style="1" customWidth="1"/>
    <col min="1549" max="1550" width="8.85546875" style="1" bestFit="1" customWidth="1"/>
    <col min="1551" max="1551" width="6.140625" style="1" customWidth="1"/>
    <col min="1552" max="1552" width="10.85546875" style="1" customWidth="1"/>
    <col min="1553" max="1553" width="8.7109375" style="1" customWidth="1"/>
    <col min="1554" max="1554" width="7.140625" style="1" customWidth="1"/>
    <col min="1555" max="1555" width="8.7109375" style="1" bestFit="1" customWidth="1"/>
    <col min="1556" max="1792" width="9.140625" style="1"/>
    <col min="1793" max="1793" width="6.42578125" style="1" customWidth="1"/>
    <col min="1794" max="1794" width="18.7109375" style="1" customWidth="1"/>
    <col min="1795" max="1795" width="8.28515625" style="1" customWidth="1"/>
    <col min="1796" max="1796" width="24.85546875" style="1" customWidth="1"/>
    <col min="1797" max="1797" width="6" style="1" bestFit="1" customWidth="1"/>
    <col min="1798" max="1798" width="9.85546875" style="1" bestFit="1" customWidth="1"/>
    <col min="1799" max="1802" width="8.85546875" style="1" bestFit="1" customWidth="1"/>
    <col min="1803" max="1803" width="8.7109375" style="1" bestFit="1" customWidth="1"/>
    <col min="1804" max="1804" width="9.5703125" style="1" customWidth="1"/>
    <col min="1805" max="1806" width="8.85546875" style="1" bestFit="1" customWidth="1"/>
    <col min="1807" max="1807" width="6.140625" style="1" customWidth="1"/>
    <col min="1808" max="1808" width="10.85546875" style="1" customWidth="1"/>
    <col min="1809" max="1809" width="8.7109375" style="1" customWidth="1"/>
    <col min="1810" max="1810" width="7.140625" style="1" customWidth="1"/>
    <col min="1811" max="1811" width="8.7109375" style="1" bestFit="1" customWidth="1"/>
    <col min="1812" max="2048" width="9.140625" style="1"/>
    <col min="2049" max="2049" width="6.42578125" style="1" customWidth="1"/>
    <col min="2050" max="2050" width="18.7109375" style="1" customWidth="1"/>
    <col min="2051" max="2051" width="8.28515625" style="1" customWidth="1"/>
    <col min="2052" max="2052" width="24.85546875" style="1" customWidth="1"/>
    <col min="2053" max="2053" width="6" style="1" bestFit="1" customWidth="1"/>
    <col min="2054" max="2054" width="9.85546875" style="1" bestFit="1" customWidth="1"/>
    <col min="2055" max="2058" width="8.85546875" style="1" bestFit="1" customWidth="1"/>
    <col min="2059" max="2059" width="8.7109375" style="1" bestFit="1" customWidth="1"/>
    <col min="2060" max="2060" width="9.5703125" style="1" customWidth="1"/>
    <col min="2061" max="2062" width="8.85546875" style="1" bestFit="1" customWidth="1"/>
    <col min="2063" max="2063" width="6.140625" style="1" customWidth="1"/>
    <col min="2064" max="2064" width="10.85546875" style="1" customWidth="1"/>
    <col min="2065" max="2065" width="8.7109375" style="1" customWidth="1"/>
    <col min="2066" max="2066" width="7.140625" style="1" customWidth="1"/>
    <col min="2067" max="2067" width="8.7109375" style="1" bestFit="1" customWidth="1"/>
    <col min="2068" max="2304" width="9.140625" style="1"/>
    <col min="2305" max="2305" width="6.42578125" style="1" customWidth="1"/>
    <col min="2306" max="2306" width="18.7109375" style="1" customWidth="1"/>
    <col min="2307" max="2307" width="8.28515625" style="1" customWidth="1"/>
    <col min="2308" max="2308" width="24.85546875" style="1" customWidth="1"/>
    <col min="2309" max="2309" width="6" style="1" bestFit="1" customWidth="1"/>
    <col min="2310" max="2310" width="9.85546875" style="1" bestFit="1" customWidth="1"/>
    <col min="2311" max="2314" width="8.85546875" style="1" bestFit="1" customWidth="1"/>
    <col min="2315" max="2315" width="8.7109375" style="1" bestFit="1" customWidth="1"/>
    <col min="2316" max="2316" width="9.5703125" style="1" customWidth="1"/>
    <col min="2317" max="2318" width="8.85546875" style="1" bestFit="1" customWidth="1"/>
    <col min="2319" max="2319" width="6.140625" style="1" customWidth="1"/>
    <col min="2320" max="2320" width="10.85546875" style="1" customWidth="1"/>
    <col min="2321" max="2321" width="8.7109375" style="1" customWidth="1"/>
    <col min="2322" max="2322" width="7.140625" style="1" customWidth="1"/>
    <col min="2323" max="2323" width="8.7109375" style="1" bestFit="1" customWidth="1"/>
    <col min="2324" max="2560" width="9.140625" style="1"/>
    <col min="2561" max="2561" width="6.42578125" style="1" customWidth="1"/>
    <col min="2562" max="2562" width="18.7109375" style="1" customWidth="1"/>
    <col min="2563" max="2563" width="8.28515625" style="1" customWidth="1"/>
    <col min="2564" max="2564" width="24.85546875" style="1" customWidth="1"/>
    <col min="2565" max="2565" width="6" style="1" bestFit="1" customWidth="1"/>
    <col min="2566" max="2566" width="9.85546875" style="1" bestFit="1" customWidth="1"/>
    <col min="2567" max="2570" width="8.85546875" style="1" bestFit="1" customWidth="1"/>
    <col min="2571" max="2571" width="8.7109375" style="1" bestFit="1" customWidth="1"/>
    <col min="2572" max="2572" width="9.5703125" style="1" customWidth="1"/>
    <col min="2573" max="2574" width="8.85546875" style="1" bestFit="1" customWidth="1"/>
    <col min="2575" max="2575" width="6.140625" style="1" customWidth="1"/>
    <col min="2576" max="2576" width="10.85546875" style="1" customWidth="1"/>
    <col min="2577" max="2577" width="8.7109375" style="1" customWidth="1"/>
    <col min="2578" max="2578" width="7.140625" style="1" customWidth="1"/>
    <col min="2579" max="2579" width="8.7109375" style="1" bestFit="1" customWidth="1"/>
    <col min="2580" max="2816" width="9.140625" style="1"/>
    <col min="2817" max="2817" width="6.42578125" style="1" customWidth="1"/>
    <col min="2818" max="2818" width="18.7109375" style="1" customWidth="1"/>
    <col min="2819" max="2819" width="8.28515625" style="1" customWidth="1"/>
    <col min="2820" max="2820" width="24.85546875" style="1" customWidth="1"/>
    <col min="2821" max="2821" width="6" style="1" bestFit="1" customWidth="1"/>
    <col min="2822" max="2822" width="9.85546875" style="1" bestFit="1" customWidth="1"/>
    <col min="2823" max="2826" width="8.85546875" style="1" bestFit="1" customWidth="1"/>
    <col min="2827" max="2827" width="8.7109375" style="1" bestFit="1" customWidth="1"/>
    <col min="2828" max="2828" width="9.5703125" style="1" customWidth="1"/>
    <col min="2829" max="2830" width="8.85546875" style="1" bestFit="1" customWidth="1"/>
    <col min="2831" max="2831" width="6.140625" style="1" customWidth="1"/>
    <col min="2832" max="2832" width="10.85546875" style="1" customWidth="1"/>
    <col min="2833" max="2833" width="8.7109375" style="1" customWidth="1"/>
    <col min="2834" max="2834" width="7.140625" style="1" customWidth="1"/>
    <col min="2835" max="2835" width="8.7109375" style="1" bestFit="1" customWidth="1"/>
    <col min="2836" max="3072" width="9.140625" style="1"/>
    <col min="3073" max="3073" width="6.42578125" style="1" customWidth="1"/>
    <col min="3074" max="3074" width="18.7109375" style="1" customWidth="1"/>
    <col min="3075" max="3075" width="8.28515625" style="1" customWidth="1"/>
    <col min="3076" max="3076" width="24.85546875" style="1" customWidth="1"/>
    <col min="3077" max="3077" width="6" style="1" bestFit="1" customWidth="1"/>
    <col min="3078" max="3078" width="9.85546875" style="1" bestFit="1" customWidth="1"/>
    <col min="3079" max="3082" width="8.85546875" style="1" bestFit="1" customWidth="1"/>
    <col min="3083" max="3083" width="8.7109375" style="1" bestFit="1" customWidth="1"/>
    <col min="3084" max="3084" width="9.5703125" style="1" customWidth="1"/>
    <col min="3085" max="3086" width="8.85546875" style="1" bestFit="1" customWidth="1"/>
    <col min="3087" max="3087" width="6.140625" style="1" customWidth="1"/>
    <col min="3088" max="3088" width="10.85546875" style="1" customWidth="1"/>
    <col min="3089" max="3089" width="8.7109375" style="1" customWidth="1"/>
    <col min="3090" max="3090" width="7.140625" style="1" customWidth="1"/>
    <col min="3091" max="3091" width="8.7109375" style="1" bestFit="1" customWidth="1"/>
    <col min="3092" max="3328" width="9.140625" style="1"/>
    <col min="3329" max="3329" width="6.42578125" style="1" customWidth="1"/>
    <col min="3330" max="3330" width="18.7109375" style="1" customWidth="1"/>
    <col min="3331" max="3331" width="8.28515625" style="1" customWidth="1"/>
    <col min="3332" max="3332" width="24.85546875" style="1" customWidth="1"/>
    <col min="3333" max="3333" width="6" style="1" bestFit="1" customWidth="1"/>
    <col min="3334" max="3334" width="9.85546875" style="1" bestFit="1" customWidth="1"/>
    <col min="3335" max="3338" width="8.85546875" style="1" bestFit="1" customWidth="1"/>
    <col min="3339" max="3339" width="8.7109375" style="1" bestFit="1" customWidth="1"/>
    <col min="3340" max="3340" width="9.5703125" style="1" customWidth="1"/>
    <col min="3341" max="3342" width="8.85546875" style="1" bestFit="1" customWidth="1"/>
    <col min="3343" max="3343" width="6.140625" style="1" customWidth="1"/>
    <col min="3344" max="3344" width="10.85546875" style="1" customWidth="1"/>
    <col min="3345" max="3345" width="8.7109375" style="1" customWidth="1"/>
    <col min="3346" max="3346" width="7.140625" style="1" customWidth="1"/>
    <col min="3347" max="3347" width="8.7109375" style="1" bestFit="1" customWidth="1"/>
    <col min="3348" max="3584" width="9.140625" style="1"/>
    <col min="3585" max="3585" width="6.42578125" style="1" customWidth="1"/>
    <col min="3586" max="3586" width="18.7109375" style="1" customWidth="1"/>
    <col min="3587" max="3587" width="8.28515625" style="1" customWidth="1"/>
    <col min="3588" max="3588" width="24.85546875" style="1" customWidth="1"/>
    <col min="3589" max="3589" width="6" style="1" bestFit="1" customWidth="1"/>
    <col min="3590" max="3590" width="9.85546875" style="1" bestFit="1" customWidth="1"/>
    <col min="3591" max="3594" width="8.85546875" style="1" bestFit="1" customWidth="1"/>
    <col min="3595" max="3595" width="8.7109375" style="1" bestFit="1" customWidth="1"/>
    <col min="3596" max="3596" width="9.5703125" style="1" customWidth="1"/>
    <col min="3597" max="3598" width="8.85546875" style="1" bestFit="1" customWidth="1"/>
    <col min="3599" max="3599" width="6.140625" style="1" customWidth="1"/>
    <col min="3600" max="3600" width="10.85546875" style="1" customWidth="1"/>
    <col min="3601" max="3601" width="8.7109375" style="1" customWidth="1"/>
    <col min="3602" max="3602" width="7.140625" style="1" customWidth="1"/>
    <col min="3603" max="3603" width="8.7109375" style="1" bestFit="1" customWidth="1"/>
    <col min="3604" max="3840" width="9.140625" style="1"/>
    <col min="3841" max="3841" width="6.42578125" style="1" customWidth="1"/>
    <col min="3842" max="3842" width="18.7109375" style="1" customWidth="1"/>
    <col min="3843" max="3843" width="8.28515625" style="1" customWidth="1"/>
    <col min="3844" max="3844" width="24.85546875" style="1" customWidth="1"/>
    <col min="3845" max="3845" width="6" style="1" bestFit="1" customWidth="1"/>
    <col min="3846" max="3846" width="9.85546875" style="1" bestFit="1" customWidth="1"/>
    <col min="3847" max="3850" width="8.85546875" style="1" bestFit="1" customWidth="1"/>
    <col min="3851" max="3851" width="8.7109375" style="1" bestFit="1" customWidth="1"/>
    <col min="3852" max="3852" width="9.5703125" style="1" customWidth="1"/>
    <col min="3853" max="3854" width="8.85546875" style="1" bestFit="1" customWidth="1"/>
    <col min="3855" max="3855" width="6.140625" style="1" customWidth="1"/>
    <col min="3856" max="3856" width="10.85546875" style="1" customWidth="1"/>
    <col min="3857" max="3857" width="8.7109375" style="1" customWidth="1"/>
    <col min="3858" max="3858" width="7.140625" style="1" customWidth="1"/>
    <col min="3859" max="3859" width="8.7109375" style="1" bestFit="1" customWidth="1"/>
    <col min="3860" max="4096" width="9.140625" style="1"/>
    <col min="4097" max="4097" width="6.42578125" style="1" customWidth="1"/>
    <col min="4098" max="4098" width="18.7109375" style="1" customWidth="1"/>
    <col min="4099" max="4099" width="8.28515625" style="1" customWidth="1"/>
    <col min="4100" max="4100" width="24.85546875" style="1" customWidth="1"/>
    <col min="4101" max="4101" width="6" style="1" bestFit="1" customWidth="1"/>
    <col min="4102" max="4102" width="9.85546875" style="1" bestFit="1" customWidth="1"/>
    <col min="4103" max="4106" width="8.85546875" style="1" bestFit="1" customWidth="1"/>
    <col min="4107" max="4107" width="8.7109375" style="1" bestFit="1" customWidth="1"/>
    <col min="4108" max="4108" width="9.5703125" style="1" customWidth="1"/>
    <col min="4109" max="4110" width="8.85546875" style="1" bestFit="1" customWidth="1"/>
    <col min="4111" max="4111" width="6.140625" style="1" customWidth="1"/>
    <col min="4112" max="4112" width="10.85546875" style="1" customWidth="1"/>
    <col min="4113" max="4113" width="8.7109375" style="1" customWidth="1"/>
    <col min="4114" max="4114" width="7.140625" style="1" customWidth="1"/>
    <col min="4115" max="4115" width="8.7109375" style="1" bestFit="1" customWidth="1"/>
    <col min="4116" max="4352" width="9.140625" style="1"/>
    <col min="4353" max="4353" width="6.42578125" style="1" customWidth="1"/>
    <col min="4354" max="4354" width="18.7109375" style="1" customWidth="1"/>
    <col min="4355" max="4355" width="8.28515625" style="1" customWidth="1"/>
    <col min="4356" max="4356" width="24.85546875" style="1" customWidth="1"/>
    <col min="4357" max="4357" width="6" style="1" bestFit="1" customWidth="1"/>
    <col min="4358" max="4358" width="9.85546875" style="1" bestFit="1" customWidth="1"/>
    <col min="4359" max="4362" width="8.85546875" style="1" bestFit="1" customWidth="1"/>
    <col min="4363" max="4363" width="8.7109375" style="1" bestFit="1" customWidth="1"/>
    <col min="4364" max="4364" width="9.5703125" style="1" customWidth="1"/>
    <col min="4365" max="4366" width="8.85546875" style="1" bestFit="1" customWidth="1"/>
    <col min="4367" max="4367" width="6.140625" style="1" customWidth="1"/>
    <col min="4368" max="4368" width="10.85546875" style="1" customWidth="1"/>
    <col min="4369" max="4369" width="8.7109375" style="1" customWidth="1"/>
    <col min="4370" max="4370" width="7.140625" style="1" customWidth="1"/>
    <col min="4371" max="4371" width="8.7109375" style="1" bestFit="1" customWidth="1"/>
    <col min="4372" max="4608" width="9.140625" style="1"/>
    <col min="4609" max="4609" width="6.42578125" style="1" customWidth="1"/>
    <col min="4610" max="4610" width="18.7109375" style="1" customWidth="1"/>
    <col min="4611" max="4611" width="8.28515625" style="1" customWidth="1"/>
    <col min="4612" max="4612" width="24.85546875" style="1" customWidth="1"/>
    <col min="4613" max="4613" width="6" style="1" bestFit="1" customWidth="1"/>
    <col min="4614" max="4614" width="9.85546875" style="1" bestFit="1" customWidth="1"/>
    <col min="4615" max="4618" width="8.85546875" style="1" bestFit="1" customWidth="1"/>
    <col min="4619" max="4619" width="8.7109375" style="1" bestFit="1" customWidth="1"/>
    <col min="4620" max="4620" width="9.5703125" style="1" customWidth="1"/>
    <col min="4621" max="4622" width="8.85546875" style="1" bestFit="1" customWidth="1"/>
    <col min="4623" max="4623" width="6.140625" style="1" customWidth="1"/>
    <col min="4624" max="4624" width="10.85546875" style="1" customWidth="1"/>
    <col min="4625" max="4625" width="8.7109375" style="1" customWidth="1"/>
    <col min="4626" max="4626" width="7.140625" style="1" customWidth="1"/>
    <col min="4627" max="4627" width="8.7109375" style="1" bestFit="1" customWidth="1"/>
    <col min="4628" max="4864" width="9.140625" style="1"/>
    <col min="4865" max="4865" width="6.42578125" style="1" customWidth="1"/>
    <col min="4866" max="4866" width="18.7109375" style="1" customWidth="1"/>
    <col min="4867" max="4867" width="8.28515625" style="1" customWidth="1"/>
    <col min="4868" max="4868" width="24.85546875" style="1" customWidth="1"/>
    <col min="4869" max="4869" width="6" style="1" bestFit="1" customWidth="1"/>
    <col min="4870" max="4870" width="9.85546875" style="1" bestFit="1" customWidth="1"/>
    <col min="4871" max="4874" width="8.85546875" style="1" bestFit="1" customWidth="1"/>
    <col min="4875" max="4875" width="8.7109375" style="1" bestFit="1" customWidth="1"/>
    <col min="4876" max="4876" width="9.5703125" style="1" customWidth="1"/>
    <col min="4877" max="4878" width="8.85546875" style="1" bestFit="1" customWidth="1"/>
    <col min="4879" max="4879" width="6.140625" style="1" customWidth="1"/>
    <col min="4880" max="4880" width="10.85546875" style="1" customWidth="1"/>
    <col min="4881" max="4881" width="8.7109375" style="1" customWidth="1"/>
    <col min="4882" max="4882" width="7.140625" style="1" customWidth="1"/>
    <col min="4883" max="4883" width="8.7109375" style="1" bestFit="1" customWidth="1"/>
    <col min="4884" max="5120" width="9.140625" style="1"/>
    <col min="5121" max="5121" width="6.42578125" style="1" customWidth="1"/>
    <col min="5122" max="5122" width="18.7109375" style="1" customWidth="1"/>
    <col min="5123" max="5123" width="8.28515625" style="1" customWidth="1"/>
    <col min="5124" max="5124" width="24.85546875" style="1" customWidth="1"/>
    <col min="5125" max="5125" width="6" style="1" bestFit="1" customWidth="1"/>
    <col min="5126" max="5126" width="9.85546875" style="1" bestFit="1" customWidth="1"/>
    <col min="5127" max="5130" width="8.85546875" style="1" bestFit="1" customWidth="1"/>
    <col min="5131" max="5131" width="8.7109375" style="1" bestFit="1" customWidth="1"/>
    <col min="5132" max="5132" width="9.5703125" style="1" customWidth="1"/>
    <col min="5133" max="5134" width="8.85546875" style="1" bestFit="1" customWidth="1"/>
    <col min="5135" max="5135" width="6.140625" style="1" customWidth="1"/>
    <col min="5136" max="5136" width="10.85546875" style="1" customWidth="1"/>
    <col min="5137" max="5137" width="8.7109375" style="1" customWidth="1"/>
    <col min="5138" max="5138" width="7.140625" style="1" customWidth="1"/>
    <col min="5139" max="5139" width="8.7109375" style="1" bestFit="1" customWidth="1"/>
    <col min="5140" max="5376" width="9.140625" style="1"/>
    <col min="5377" max="5377" width="6.42578125" style="1" customWidth="1"/>
    <col min="5378" max="5378" width="18.7109375" style="1" customWidth="1"/>
    <col min="5379" max="5379" width="8.28515625" style="1" customWidth="1"/>
    <col min="5380" max="5380" width="24.85546875" style="1" customWidth="1"/>
    <col min="5381" max="5381" width="6" style="1" bestFit="1" customWidth="1"/>
    <col min="5382" max="5382" width="9.85546875" style="1" bestFit="1" customWidth="1"/>
    <col min="5383" max="5386" width="8.85546875" style="1" bestFit="1" customWidth="1"/>
    <col min="5387" max="5387" width="8.7109375" style="1" bestFit="1" customWidth="1"/>
    <col min="5388" max="5388" width="9.5703125" style="1" customWidth="1"/>
    <col min="5389" max="5390" width="8.85546875" style="1" bestFit="1" customWidth="1"/>
    <col min="5391" max="5391" width="6.140625" style="1" customWidth="1"/>
    <col min="5392" max="5392" width="10.85546875" style="1" customWidth="1"/>
    <col min="5393" max="5393" width="8.7109375" style="1" customWidth="1"/>
    <col min="5394" max="5394" width="7.140625" style="1" customWidth="1"/>
    <col min="5395" max="5395" width="8.7109375" style="1" bestFit="1" customWidth="1"/>
    <col min="5396" max="5632" width="9.140625" style="1"/>
    <col min="5633" max="5633" width="6.42578125" style="1" customWidth="1"/>
    <col min="5634" max="5634" width="18.7109375" style="1" customWidth="1"/>
    <col min="5635" max="5635" width="8.28515625" style="1" customWidth="1"/>
    <col min="5636" max="5636" width="24.85546875" style="1" customWidth="1"/>
    <col min="5637" max="5637" width="6" style="1" bestFit="1" customWidth="1"/>
    <col min="5638" max="5638" width="9.85546875" style="1" bestFit="1" customWidth="1"/>
    <col min="5639" max="5642" width="8.85546875" style="1" bestFit="1" customWidth="1"/>
    <col min="5643" max="5643" width="8.7109375" style="1" bestFit="1" customWidth="1"/>
    <col min="5644" max="5644" width="9.5703125" style="1" customWidth="1"/>
    <col min="5645" max="5646" width="8.85546875" style="1" bestFit="1" customWidth="1"/>
    <col min="5647" max="5647" width="6.140625" style="1" customWidth="1"/>
    <col min="5648" max="5648" width="10.85546875" style="1" customWidth="1"/>
    <col min="5649" max="5649" width="8.7109375" style="1" customWidth="1"/>
    <col min="5650" max="5650" width="7.140625" style="1" customWidth="1"/>
    <col min="5651" max="5651" width="8.7109375" style="1" bestFit="1" customWidth="1"/>
    <col min="5652" max="5888" width="9.140625" style="1"/>
    <col min="5889" max="5889" width="6.42578125" style="1" customWidth="1"/>
    <col min="5890" max="5890" width="18.7109375" style="1" customWidth="1"/>
    <col min="5891" max="5891" width="8.28515625" style="1" customWidth="1"/>
    <col min="5892" max="5892" width="24.85546875" style="1" customWidth="1"/>
    <col min="5893" max="5893" width="6" style="1" bestFit="1" customWidth="1"/>
    <col min="5894" max="5894" width="9.85546875" style="1" bestFit="1" customWidth="1"/>
    <col min="5895" max="5898" width="8.85546875" style="1" bestFit="1" customWidth="1"/>
    <col min="5899" max="5899" width="8.7109375" style="1" bestFit="1" customWidth="1"/>
    <col min="5900" max="5900" width="9.5703125" style="1" customWidth="1"/>
    <col min="5901" max="5902" width="8.85546875" style="1" bestFit="1" customWidth="1"/>
    <col min="5903" max="5903" width="6.140625" style="1" customWidth="1"/>
    <col min="5904" max="5904" width="10.85546875" style="1" customWidth="1"/>
    <col min="5905" max="5905" width="8.7109375" style="1" customWidth="1"/>
    <col min="5906" max="5906" width="7.140625" style="1" customWidth="1"/>
    <col min="5907" max="5907" width="8.7109375" style="1" bestFit="1" customWidth="1"/>
    <col min="5908" max="6144" width="9.140625" style="1"/>
    <col min="6145" max="6145" width="6.42578125" style="1" customWidth="1"/>
    <col min="6146" max="6146" width="18.7109375" style="1" customWidth="1"/>
    <col min="6147" max="6147" width="8.28515625" style="1" customWidth="1"/>
    <col min="6148" max="6148" width="24.85546875" style="1" customWidth="1"/>
    <col min="6149" max="6149" width="6" style="1" bestFit="1" customWidth="1"/>
    <col min="6150" max="6150" width="9.85546875" style="1" bestFit="1" customWidth="1"/>
    <col min="6151" max="6154" width="8.85546875" style="1" bestFit="1" customWidth="1"/>
    <col min="6155" max="6155" width="8.7109375" style="1" bestFit="1" customWidth="1"/>
    <col min="6156" max="6156" width="9.5703125" style="1" customWidth="1"/>
    <col min="6157" max="6158" width="8.85546875" style="1" bestFit="1" customWidth="1"/>
    <col min="6159" max="6159" width="6.140625" style="1" customWidth="1"/>
    <col min="6160" max="6160" width="10.85546875" style="1" customWidth="1"/>
    <col min="6161" max="6161" width="8.7109375" style="1" customWidth="1"/>
    <col min="6162" max="6162" width="7.140625" style="1" customWidth="1"/>
    <col min="6163" max="6163" width="8.7109375" style="1" bestFit="1" customWidth="1"/>
    <col min="6164" max="6400" width="9.140625" style="1"/>
    <col min="6401" max="6401" width="6.42578125" style="1" customWidth="1"/>
    <col min="6402" max="6402" width="18.7109375" style="1" customWidth="1"/>
    <col min="6403" max="6403" width="8.28515625" style="1" customWidth="1"/>
    <col min="6404" max="6404" width="24.85546875" style="1" customWidth="1"/>
    <col min="6405" max="6405" width="6" style="1" bestFit="1" customWidth="1"/>
    <col min="6406" max="6406" width="9.85546875" style="1" bestFit="1" customWidth="1"/>
    <col min="6407" max="6410" width="8.85546875" style="1" bestFit="1" customWidth="1"/>
    <col min="6411" max="6411" width="8.7109375" style="1" bestFit="1" customWidth="1"/>
    <col min="6412" max="6412" width="9.5703125" style="1" customWidth="1"/>
    <col min="6413" max="6414" width="8.85546875" style="1" bestFit="1" customWidth="1"/>
    <col min="6415" max="6415" width="6.140625" style="1" customWidth="1"/>
    <col min="6416" max="6416" width="10.85546875" style="1" customWidth="1"/>
    <col min="6417" max="6417" width="8.7109375" style="1" customWidth="1"/>
    <col min="6418" max="6418" width="7.140625" style="1" customWidth="1"/>
    <col min="6419" max="6419" width="8.7109375" style="1" bestFit="1" customWidth="1"/>
    <col min="6420" max="6656" width="9.140625" style="1"/>
    <col min="6657" max="6657" width="6.42578125" style="1" customWidth="1"/>
    <col min="6658" max="6658" width="18.7109375" style="1" customWidth="1"/>
    <col min="6659" max="6659" width="8.28515625" style="1" customWidth="1"/>
    <col min="6660" max="6660" width="24.85546875" style="1" customWidth="1"/>
    <col min="6661" max="6661" width="6" style="1" bestFit="1" customWidth="1"/>
    <col min="6662" max="6662" width="9.85546875" style="1" bestFit="1" customWidth="1"/>
    <col min="6663" max="6666" width="8.85546875" style="1" bestFit="1" customWidth="1"/>
    <col min="6667" max="6667" width="8.7109375" style="1" bestFit="1" customWidth="1"/>
    <col min="6668" max="6668" width="9.5703125" style="1" customWidth="1"/>
    <col min="6669" max="6670" width="8.85546875" style="1" bestFit="1" customWidth="1"/>
    <col min="6671" max="6671" width="6.140625" style="1" customWidth="1"/>
    <col min="6672" max="6672" width="10.85546875" style="1" customWidth="1"/>
    <col min="6673" max="6673" width="8.7109375" style="1" customWidth="1"/>
    <col min="6674" max="6674" width="7.140625" style="1" customWidth="1"/>
    <col min="6675" max="6675" width="8.7109375" style="1" bestFit="1" customWidth="1"/>
    <col min="6676" max="6912" width="9.140625" style="1"/>
    <col min="6913" max="6913" width="6.42578125" style="1" customWidth="1"/>
    <col min="6914" max="6914" width="18.7109375" style="1" customWidth="1"/>
    <col min="6915" max="6915" width="8.28515625" style="1" customWidth="1"/>
    <col min="6916" max="6916" width="24.85546875" style="1" customWidth="1"/>
    <col min="6917" max="6917" width="6" style="1" bestFit="1" customWidth="1"/>
    <col min="6918" max="6918" width="9.85546875" style="1" bestFit="1" customWidth="1"/>
    <col min="6919" max="6922" width="8.85546875" style="1" bestFit="1" customWidth="1"/>
    <col min="6923" max="6923" width="8.7109375" style="1" bestFit="1" customWidth="1"/>
    <col min="6924" max="6924" width="9.5703125" style="1" customWidth="1"/>
    <col min="6925" max="6926" width="8.85546875" style="1" bestFit="1" customWidth="1"/>
    <col min="6927" max="6927" width="6.140625" style="1" customWidth="1"/>
    <col min="6928" max="6928" width="10.85546875" style="1" customWidth="1"/>
    <col min="6929" max="6929" width="8.7109375" style="1" customWidth="1"/>
    <col min="6930" max="6930" width="7.140625" style="1" customWidth="1"/>
    <col min="6931" max="6931" width="8.7109375" style="1" bestFit="1" customWidth="1"/>
    <col min="6932" max="7168" width="9.140625" style="1"/>
    <col min="7169" max="7169" width="6.42578125" style="1" customWidth="1"/>
    <col min="7170" max="7170" width="18.7109375" style="1" customWidth="1"/>
    <col min="7171" max="7171" width="8.28515625" style="1" customWidth="1"/>
    <col min="7172" max="7172" width="24.85546875" style="1" customWidth="1"/>
    <col min="7173" max="7173" width="6" style="1" bestFit="1" customWidth="1"/>
    <col min="7174" max="7174" width="9.85546875" style="1" bestFit="1" customWidth="1"/>
    <col min="7175" max="7178" width="8.85546875" style="1" bestFit="1" customWidth="1"/>
    <col min="7179" max="7179" width="8.7109375" style="1" bestFit="1" customWidth="1"/>
    <col min="7180" max="7180" width="9.5703125" style="1" customWidth="1"/>
    <col min="7181" max="7182" width="8.85546875" style="1" bestFit="1" customWidth="1"/>
    <col min="7183" max="7183" width="6.140625" style="1" customWidth="1"/>
    <col min="7184" max="7184" width="10.85546875" style="1" customWidth="1"/>
    <col min="7185" max="7185" width="8.7109375" style="1" customWidth="1"/>
    <col min="7186" max="7186" width="7.140625" style="1" customWidth="1"/>
    <col min="7187" max="7187" width="8.7109375" style="1" bestFit="1" customWidth="1"/>
    <col min="7188" max="7424" width="9.140625" style="1"/>
    <col min="7425" max="7425" width="6.42578125" style="1" customWidth="1"/>
    <col min="7426" max="7426" width="18.7109375" style="1" customWidth="1"/>
    <col min="7427" max="7427" width="8.28515625" style="1" customWidth="1"/>
    <col min="7428" max="7428" width="24.85546875" style="1" customWidth="1"/>
    <col min="7429" max="7429" width="6" style="1" bestFit="1" customWidth="1"/>
    <col min="7430" max="7430" width="9.85546875" style="1" bestFit="1" customWidth="1"/>
    <col min="7431" max="7434" width="8.85546875" style="1" bestFit="1" customWidth="1"/>
    <col min="7435" max="7435" width="8.7109375" style="1" bestFit="1" customWidth="1"/>
    <col min="7436" max="7436" width="9.5703125" style="1" customWidth="1"/>
    <col min="7437" max="7438" width="8.85546875" style="1" bestFit="1" customWidth="1"/>
    <col min="7439" max="7439" width="6.140625" style="1" customWidth="1"/>
    <col min="7440" max="7440" width="10.85546875" style="1" customWidth="1"/>
    <col min="7441" max="7441" width="8.7109375" style="1" customWidth="1"/>
    <col min="7442" max="7442" width="7.140625" style="1" customWidth="1"/>
    <col min="7443" max="7443" width="8.7109375" style="1" bestFit="1" customWidth="1"/>
    <col min="7444" max="7680" width="9.140625" style="1"/>
    <col min="7681" max="7681" width="6.42578125" style="1" customWidth="1"/>
    <col min="7682" max="7682" width="18.7109375" style="1" customWidth="1"/>
    <col min="7683" max="7683" width="8.28515625" style="1" customWidth="1"/>
    <col min="7684" max="7684" width="24.85546875" style="1" customWidth="1"/>
    <col min="7685" max="7685" width="6" style="1" bestFit="1" customWidth="1"/>
    <col min="7686" max="7686" width="9.85546875" style="1" bestFit="1" customWidth="1"/>
    <col min="7687" max="7690" width="8.85546875" style="1" bestFit="1" customWidth="1"/>
    <col min="7691" max="7691" width="8.7109375" style="1" bestFit="1" customWidth="1"/>
    <col min="7692" max="7692" width="9.5703125" style="1" customWidth="1"/>
    <col min="7693" max="7694" width="8.85546875" style="1" bestFit="1" customWidth="1"/>
    <col min="7695" max="7695" width="6.140625" style="1" customWidth="1"/>
    <col min="7696" max="7696" width="10.85546875" style="1" customWidth="1"/>
    <col min="7697" max="7697" width="8.7109375" style="1" customWidth="1"/>
    <col min="7698" max="7698" width="7.140625" style="1" customWidth="1"/>
    <col min="7699" max="7699" width="8.7109375" style="1" bestFit="1" customWidth="1"/>
    <col min="7700" max="7936" width="9.140625" style="1"/>
    <col min="7937" max="7937" width="6.42578125" style="1" customWidth="1"/>
    <col min="7938" max="7938" width="18.7109375" style="1" customWidth="1"/>
    <col min="7939" max="7939" width="8.28515625" style="1" customWidth="1"/>
    <col min="7940" max="7940" width="24.85546875" style="1" customWidth="1"/>
    <col min="7941" max="7941" width="6" style="1" bestFit="1" customWidth="1"/>
    <col min="7942" max="7942" width="9.85546875" style="1" bestFit="1" customWidth="1"/>
    <col min="7943" max="7946" width="8.85546875" style="1" bestFit="1" customWidth="1"/>
    <col min="7947" max="7947" width="8.7109375" style="1" bestFit="1" customWidth="1"/>
    <col min="7948" max="7948" width="9.5703125" style="1" customWidth="1"/>
    <col min="7949" max="7950" width="8.85546875" style="1" bestFit="1" customWidth="1"/>
    <col min="7951" max="7951" width="6.140625" style="1" customWidth="1"/>
    <col min="7952" max="7952" width="10.85546875" style="1" customWidth="1"/>
    <col min="7953" max="7953" width="8.7109375" style="1" customWidth="1"/>
    <col min="7954" max="7954" width="7.140625" style="1" customWidth="1"/>
    <col min="7955" max="7955" width="8.7109375" style="1" bestFit="1" customWidth="1"/>
    <col min="7956" max="8192" width="9.140625" style="1"/>
    <col min="8193" max="8193" width="6.42578125" style="1" customWidth="1"/>
    <col min="8194" max="8194" width="18.7109375" style="1" customWidth="1"/>
    <col min="8195" max="8195" width="8.28515625" style="1" customWidth="1"/>
    <col min="8196" max="8196" width="24.85546875" style="1" customWidth="1"/>
    <col min="8197" max="8197" width="6" style="1" bestFit="1" customWidth="1"/>
    <col min="8198" max="8198" width="9.85546875" style="1" bestFit="1" customWidth="1"/>
    <col min="8199" max="8202" width="8.85546875" style="1" bestFit="1" customWidth="1"/>
    <col min="8203" max="8203" width="8.7109375" style="1" bestFit="1" customWidth="1"/>
    <col min="8204" max="8204" width="9.5703125" style="1" customWidth="1"/>
    <col min="8205" max="8206" width="8.85546875" style="1" bestFit="1" customWidth="1"/>
    <col min="8207" max="8207" width="6.140625" style="1" customWidth="1"/>
    <col min="8208" max="8208" width="10.85546875" style="1" customWidth="1"/>
    <col min="8209" max="8209" width="8.7109375" style="1" customWidth="1"/>
    <col min="8210" max="8210" width="7.140625" style="1" customWidth="1"/>
    <col min="8211" max="8211" width="8.7109375" style="1" bestFit="1" customWidth="1"/>
    <col min="8212" max="8448" width="9.140625" style="1"/>
    <col min="8449" max="8449" width="6.42578125" style="1" customWidth="1"/>
    <col min="8450" max="8450" width="18.7109375" style="1" customWidth="1"/>
    <col min="8451" max="8451" width="8.28515625" style="1" customWidth="1"/>
    <col min="8452" max="8452" width="24.85546875" style="1" customWidth="1"/>
    <col min="8453" max="8453" width="6" style="1" bestFit="1" customWidth="1"/>
    <col min="8454" max="8454" width="9.85546875" style="1" bestFit="1" customWidth="1"/>
    <col min="8455" max="8458" width="8.85546875" style="1" bestFit="1" customWidth="1"/>
    <col min="8459" max="8459" width="8.7109375" style="1" bestFit="1" customWidth="1"/>
    <col min="8460" max="8460" width="9.5703125" style="1" customWidth="1"/>
    <col min="8461" max="8462" width="8.85546875" style="1" bestFit="1" customWidth="1"/>
    <col min="8463" max="8463" width="6.140625" style="1" customWidth="1"/>
    <col min="8464" max="8464" width="10.85546875" style="1" customWidth="1"/>
    <col min="8465" max="8465" width="8.7109375" style="1" customWidth="1"/>
    <col min="8466" max="8466" width="7.140625" style="1" customWidth="1"/>
    <col min="8467" max="8467" width="8.7109375" style="1" bestFit="1" customWidth="1"/>
    <col min="8468" max="8704" width="9.140625" style="1"/>
    <col min="8705" max="8705" width="6.42578125" style="1" customWidth="1"/>
    <col min="8706" max="8706" width="18.7109375" style="1" customWidth="1"/>
    <col min="8707" max="8707" width="8.28515625" style="1" customWidth="1"/>
    <col min="8708" max="8708" width="24.85546875" style="1" customWidth="1"/>
    <col min="8709" max="8709" width="6" style="1" bestFit="1" customWidth="1"/>
    <col min="8710" max="8710" width="9.85546875" style="1" bestFit="1" customWidth="1"/>
    <col min="8711" max="8714" width="8.85546875" style="1" bestFit="1" customWidth="1"/>
    <col min="8715" max="8715" width="8.7109375" style="1" bestFit="1" customWidth="1"/>
    <col min="8716" max="8716" width="9.5703125" style="1" customWidth="1"/>
    <col min="8717" max="8718" width="8.85546875" style="1" bestFit="1" customWidth="1"/>
    <col min="8719" max="8719" width="6.140625" style="1" customWidth="1"/>
    <col min="8720" max="8720" width="10.85546875" style="1" customWidth="1"/>
    <col min="8721" max="8721" width="8.7109375" style="1" customWidth="1"/>
    <col min="8722" max="8722" width="7.140625" style="1" customWidth="1"/>
    <col min="8723" max="8723" width="8.7109375" style="1" bestFit="1" customWidth="1"/>
    <col min="8724" max="8960" width="9.140625" style="1"/>
    <col min="8961" max="8961" width="6.42578125" style="1" customWidth="1"/>
    <col min="8962" max="8962" width="18.7109375" style="1" customWidth="1"/>
    <col min="8963" max="8963" width="8.28515625" style="1" customWidth="1"/>
    <col min="8964" max="8964" width="24.85546875" style="1" customWidth="1"/>
    <col min="8965" max="8965" width="6" style="1" bestFit="1" customWidth="1"/>
    <col min="8966" max="8966" width="9.85546875" style="1" bestFit="1" customWidth="1"/>
    <col min="8967" max="8970" width="8.85546875" style="1" bestFit="1" customWidth="1"/>
    <col min="8971" max="8971" width="8.7109375" style="1" bestFit="1" customWidth="1"/>
    <col min="8972" max="8972" width="9.5703125" style="1" customWidth="1"/>
    <col min="8973" max="8974" width="8.85546875" style="1" bestFit="1" customWidth="1"/>
    <col min="8975" max="8975" width="6.140625" style="1" customWidth="1"/>
    <col min="8976" max="8976" width="10.85546875" style="1" customWidth="1"/>
    <col min="8977" max="8977" width="8.7109375" style="1" customWidth="1"/>
    <col min="8978" max="8978" width="7.140625" style="1" customWidth="1"/>
    <col min="8979" max="8979" width="8.7109375" style="1" bestFit="1" customWidth="1"/>
    <col min="8980" max="9216" width="9.140625" style="1"/>
    <col min="9217" max="9217" width="6.42578125" style="1" customWidth="1"/>
    <col min="9218" max="9218" width="18.7109375" style="1" customWidth="1"/>
    <col min="9219" max="9219" width="8.28515625" style="1" customWidth="1"/>
    <col min="9220" max="9220" width="24.85546875" style="1" customWidth="1"/>
    <col min="9221" max="9221" width="6" style="1" bestFit="1" customWidth="1"/>
    <col min="9222" max="9222" width="9.85546875" style="1" bestFit="1" customWidth="1"/>
    <col min="9223" max="9226" width="8.85546875" style="1" bestFit="1" customWidth="1"/>
    <col min="9227" max="9227" width="8.7109375" style="1" bestFit="1" customWidth="1"/>
    <col min="9228" max="9228" width="9.5703125" style="1" customWidth="1"/>
    <col min="9229" max="9230" width="8.85546875" style="1" bestFit="1" customWidth="1"/>
    <col min="9231" max="9231" width="6.140625" style="1" customWidth="1"/>
    <col min="9232" max="9232" width="10.85546875" style="1" customWidth="1"/>
    <col min="9233" max="9233" width="8.7109375" style="1" customWidth="1"/>
    <col min="9234" max="9234" width="7.140625" style="1" customWidth="1"/>
    <col min="9235" max="9235" width="8.7109375" style="1" bestFit="1" customWidth="1"/>
    <col min="9236" max="9472" width="9.140625" style="1"/>
    <col min="9473" max="9473" width="6.42578125" style="1" customWidth="1"/>
    <col min="9474" max="9474" width="18.7109375" style="1" customWidth="1"/>
    <col min="9475" max="9475" width="8.28515625" style="1" customWidth="1"/>
    <col min="9476" max="9476" width="24.85546875" style="1" customWidth="1"/>
    <col min="9477" max="9477" width="6" style="1" bestFit="1" customWidth="1"/>
    <col min="9478" max="9478" width="9.85546875" style="1" bestFit="1" customWidth="1"/>
    <col min="9479" max="9482" width="8.85546875" style="1" bestFit="1" customWidth="1"/>
    <col min="9483" max="9483" width="8.7109375" style="1" bestFit="1" customWidth="1"/>
    <col min="9484" max="9484" width="9.5703125" style="1" customWidth="1"/>
    <col min="9485" max="9486" width="8.85546875" style="1" bestFit="1" customWidth="1"/>
    <col min="9487" max="9487" width="6.140625" style="1" customWidth="1"/>
    <col min="9488" max="9488" width="10.85546875" style="1" customWidth="1"/>
    <col min="9489" max="9489" width="8.7109375" style="1" customWidth="1"/>
    <col min="9490" max="9490" width="7.140625" style="1" customWidth="1"/>
    <col min="9491" max="9491" width="8.7109375" style="1" bestFit="1" customWidth="1"/>
    <col min="9492" max="9728" width="9.140625" style="1"/>
    <col min="9729" max="9729" width="6.42578125" style="1" customWidth="1"/>
    <col min="9730" max="9730" width="18.7109375" style="1" customWidth="1"/>
    <col min="9731" max="9731" width="8.28515625" style="1" customWidth="1"/>
    <col min="9732" max="9732" width="24.85546875" style="1" customWidth="1"/>
    <col min="9733" max="9733" width="6" style="1" bestFit="1" customWidth="1"/>
    <col min="9734" max="9734" width="9.85546875" style="1" bestFit="1" customWidth="1"/>
    <col min="9735" max="9738" width="8.85546875" style="1" bestFit="1" customWidth="1"/>
    <col min="9739" max="9739" width="8.7109375" style="1" bestFit="1" customWidth="1"/>
    <col min="9740" max="9740" width="9.5703125" style="1" customWidth="1"/>
    <col min="9741" max="9742" width="8.85546875" style="1" bestFit="1" customWidth="1"/>
    <col min="9743" max="9743" width="6.140625" style="1" customWidth="1"/>
    <col min="9744" max="9744" width="10.85546875" style="1" customWidth="1"/>
    <col min="9745" max="9745" width="8.7109375" style="1" customWidth="1"/>
    <col min="9746" max="9746" width="7.140625" style="1" customWidth="1"/>
    <col min="9747" max="9747" width="8.7109375" style="1" bestFit="1" customWidth="1"/>
    <col min="9748" max="9984" width="9.140625" style="1"/>
    <col min="9985" max="9985" width="6.42578125" style="1" customWidth="1"/>
    <col min="9986" max="9986" width="18.7109375" style="1" customWidth="1"/>
    <col min="9987" max="9987" width="8.28515625" style="1" customWidth="1"/>
    <col min="9988" max="9988" width="24.85546875" style="1" customWidth="1"/>
    <col min="9989" max="9989" width="6" style="1" bestFit="1" customWidth="1"/>
    <col min="9990" max="9990" width="9.85546875" style="1" bestFit="1" customWidth="1"/>
    <col min="9991" max="9994" width="8.85546875" style="1" bestFit="1" customWidth="1"/>
    <col min="9995" max="9995" width="8.7109375" style="1" bestFit="1" customWidth="1"/>
    <col min="9996" max="9996" width="9.5703125" style="1" customWidth="1"/>
    <col min="9997" max="9998" width="8.85546875" style="1" bestFit="1" customWidth="1"/>
    <col min="9999" max="9999" width="6.140625" style="1" customWidth="1"/>
    <col min="10000" max="10000" width="10.85546875" style="1" customWidth="1"/>
    <col min="10001" max="10001" width="8.7109375" style="1" customWidth="1"/>
    <col min="10002" max="10002" width="7.140625" style="1" customWidth="1"/>
    <col min="10003" max="10003" width="8.7109375" style="1" bestFit="1" customWidth="1"/>
    <col min="10004" max="10240" width="9.140625" style="1"/>
    <col min="10241" max="10241" width="6.42578125" style="1" customWidth="1"/>
    <col min="10242" max="10242" width="18.7109375" style="1" customWidth="1"/>
    <col min="10243" max="10243" width="8.28515625" style="1" customWidth="1"/>
    <col min="10244" max="10244" width="24.85546875" style="1" customWidth="1"/>
    <col min="10245" max="10245" width="6" style="1" bestFit="1" customWidth="1"/>
    <col min="10246" max="10246" width="9.85546875" style="1" bestFit="1" customWidth="1"/>
    <col min="10247" max="10250" width="8.85546875" style="1" bestFit="1" customWidth="1"/>
    <col min="10251" max="10251" width="8.7109375" style="1" bestFit="1" customWidth="1"/>
    <col min="10252" max="10252" width="9.5703125" style="1" customWidth="1"/>
    <col min="10253" max="10254" width="8.85546875" style="1" bestFit="1" customWidth="1"/>
    <col min="10255" max="10255" width="6.140625" style="1" customWidth="1"/>
    <col min="10256" max="10256" width="10.85546875" style="1" customWidth="1"/>
    <col min="10257" max="10257" width="8.7109375" style="1" customWidth="1"/>
    <col min="10258" max="10258" width="7.140625" style="1" customWidth="1"/>
    <col min="10259" max="10259" width="8.7109375" style="1" bestFit="1" customWidth="1"/>
    <col min="10260" max="10496" width="9.140625" style="1"/>
    <col min="10497" max="10497" width="6.42578125" style="1" customWidth="1"/>
    <col min="10498" max="10498" width="18.7109375" style="1" customWidth="1"/>
    <col min="10499" max="10499" width="8.28515625" style="1" customWidth="1"/>
    <col min="10500" max="10500" width="24.85546875" style="1" customWidth="1"/>
    <col min="10501" max="10501" width="6" style="1" bestFit="1" customWidth="1"/>
    <col min="10502" max="10502" width="9.85546875" style="1" bestFit="1" customWidth="1"/>
    <col min="10503" max="10506" width="8.85546875" style="1" bestFit="1" customWidth="1"/>
    <col min="10507" max="10507" width="8.7109375" style="1" bestFit="1" customWidth="1"/>
    <col min="10508" max="10508" width="9.5703125" style="1" customWidth="1"/>
    <col min="10509" max="10510" width="8.85546875" style="1" bestFit="1" customWidth="1"/>
    <col min="10511" max="10511" width="6.140625" style="1" customWidth="1"/>
    <col min="10512" max="10512" width="10.85546875" style="1" customWidth="1"/>
    <col min="10513" max="10513" width="8.7109375" style="1" customWidth="1"/>
    <col min="10514" max="10514" width="7.140625" style="1" customWidth="1"/>
    <col min="10515" max="10515" width="8.7109375" style="1" bestFit="1" customWidth="1"/>
    <col min="10516" max="10752" width="9.140625" style="1"/>
    <col min="10753" max="10753" width="6.42578125" style="1" customWidth="1"/>
    <col min="10754" max="10754" width="18.7109375" style="1" customWidth="1"/>
    <col min="10755" max="10755" width="8.28515625" style="1" customWidth="1"/>
    <col min="10756" max="10756" width="24.85546875" style="1" customWidth="1"/>
    <col min="10757" max="10757" width="6" style="1" bestFit="1" customWidth="1"/>
    <col min="10758" max="10758" width="9.85546875" style="1" bestFit="1" customWidth="1"/>
    <col min="10759" max="10762" width="8.85546875" style="1" bestFit="1" customWidth="1"/>
    <col min="10763" max="10763" width="8.7109375" style="1" bestFit="1" customWidth="1"/>
    <col min="10764" max="10764" width="9.5703125" style="1" customWidth="1"/>
    <col min="10765" max="10766" width="8.85546875" style="1" bestFit="1" customWidth="1"/>
    <col min="10767" max="10767" width="6.140625" style="1" customWidth="1"/>
    <col min="10768" max="10768" width="10.85546875" style="1" customWidth="1"/>
    <col min="10769" max="10769" width="8.7109375" style="1" customWidth="1"/>
    <col min="10770" max="10770" width="7.140625" style="1" customWidth="1"/>
    <col min="10771" max="10771" width="8.7109375" style="1" bestFit="1" customWidth="1"/>
    <col min="10772" max="11008" width="9.140625" style="1"/>
    <col min="11009" max="11009" width="6.42578125" style="1" customWidth="1"/>
    <col min="11010" max="11010" width="18.7109375" style="1" customWidth="1"/>
    <col min="11011" max="11011" width="8.28515625" style="1" customWidth="1"/>
    <col min="11012" max="11012" width="24.85546875" style="1" customWidth="1"/>
    <col min="11013" max="11013" width="6" style="1" bestFit="1" customWidth="1"/>
    <col min="11014" max="11014" width="9.85546875" style="1" bestFit="1" customWidth="1"/>
    <col min="11015" max="11018" width="8.85546875" style="1" bestFit="1" customWidth="1"/>
    <col min="11019" max="11019" width="8.7109375" style="1" bestFit="1" customWidth="1"/>
    <col min="11020" max="11020" width="9.5703125" style="1" customWidth="1"/>
    <col min="11021" max="11022" width="8.85546875" style="1" bestFit="1" customWidth="1"/>
    <col min="11023" max="11023" width="6.140625" style="1" customWidth="1"/>
    <col min="11024" max="11024" width="10.85546875" style="1" customWidth="1"/>
    <col min="11025" max="11025" width="8.7109375" style="1" customWidth="1"/>
    <col min="11026" max="11026" width="7.140625" style="1" customWidth="1"/>
    <col min="11027" max="11027" width="8.7109375" style="1" bestFit="1" customWidth="1"/>
    <col min="11028" max="11264" width="9.140625" style="1"/>
    <col min="11265" max="11265" width="6.42578125" style="1" customWidth="1"/>
    <col min="11266" max="11266" width="18.7109375" style="1" customWidth="1"/>
    <col min="11267" max="11267" width="8.28515625" style="1" customWidth="1"/>
    <col min="11268" max="11268" width="24.85546875" style="1" customWidth="1"/>
    <col min="11269" max="11269" width="6" style="1" bestFit="1" customWidth="1"/>
    <col min="11270" max="11270" width="9.85546875" style="1" bestFit="1" customWidth="1"/>
    <col min="11271" max="11274" width="8.85546875" style="1" bestFit="1" customWidth="1"/>
    <col min="11275" max="11275" width="8.7109375" style="1" bestFit="1" customWidth="1"/>
    <col min="11276" max="11276" width="9.5703125" style="1" customWidth="1"/>
    <col min="11277" max="11278" width="8.85546875" style="1" bestFit="1" customWidth="1"/>
    <col min="11279" max="11279" width="6.140625" style="1" customWidth="1"/>
    <col min="11280" max="11280" width="10.85546875" style="1" customWidth="1"/>
    <col min="11281" max="11281" width="8.7109375" style="1" customWidth="1"/>
    <col min="11282" max="11282" width="7.140625" style="1" customWidth="1"/>
    <col min="11283" max="11283" width="8.7109375" style="1" bestFit="1" customWidth="1"/>
    <col min="11284" max="11520" width="9.140625" style="1"/>
    <col min="11521" max="11521" width="6.42578125" style="1" customWidth="1"/>
    <col min="11522" max="11522" width="18.7109375" style="1" customWidth="1"/>
    <col min="11523" max="11523" width="8.28515625" style="1" customWidth="1"/>
    <col min="11524" max="11524" width="24.85546875" style="1" customWidth="1"/>
    <col min="11525" max="11525" width="6" style="1" bestFit="1" customWidth="1"/>
    <col min="11526" max="11526" width="9.85546875" style="1" bestFit="1" customWidth="1"/>
    <col min="11527" max="11530" width="8.85546875" style="1" bestFit="1" customWidth="1"/>
    <col min="11531" max="11531" width="8.7109375" style="1" bestFit="1" customWidth="1"/>
    <col min="11532" max="11532" width="9.5703125" style="1" customWidth="1"/>
    <col min="11533" max="11534" width="8.85546875" style="1" bestFit="1" customWidth="1"/>
    <col min="11535" max="11535" width="6.140625" style="1" customWidth="1"/>
    <col min="11536" max="11536" width="10.85546875" style="1" customWidth="1"/>
    <col min="11537" max="11537" width="8.7109375" style="1" customWidth="1"/>
    <col min="11538" max="11538" width="7.140625" style="1" customWidth="1"/>
    <col min="11539" max="11539" width="8.7109375" style="1" bestFit="1" customWidth="1"/>
    <col min="11540" max="11776" width="9.140625" style="1"/>
    <col min="11777" max="11777" width="6.42578125" style="1" customWidth="1"/>
    <col min="11778" max="11778" width="18.7109375" style="1" customWidth="1"/>
    <col min="11779" max="11779" width="8.28515625" style="1" customWidth="1"/>
    <col min="11780" max="11780" width="24.85546875" style="1" customWidth="1"/>
    <col min="11781" max="11781" width="6" style="1" bestFit="1" customWidth="1"/>
    <col min="11782" max="11782" width="9.85546875" style="1" bestFit="1" customWidth="1"/>
    <col min="11783" max="11786" width="8.85546875" style="1" bestFit="1" customWidth="1"/>
    <col min="11787" max="11787" width="8.7109375" style="1" bestFit="1" customWidth="1"/>
    <col min="11788" max="11788" width="9.5703125" style="1" customWidth="1"/>
    <col min="11789" max="11790" width="8.85546875" style="1" bestFit="1" customWidth="1"/>
    <col min="11791" max="11791" width="6.140625" style="1" customWidth="1"/>
    <col min="11792" max="11792" width="10.85546875" style="1" customWidth="1"/>
    <col min="11793" max="11793" width="8.7109375" style="1" customWidth="1"/>
    <col min="11794" max="11794" width="7.140625" style="1" customWidth="1"/>
    <col min="11795" max="11795" width="8.7109375" style="1" bestFit="1" customWidth="1"/>
    <col min="11796" max="12032" width="9.140625" style="1"/>
    <col min="12033" max="12033" width="6.42578125" style="1" customWidth="1"/>
    <col min="12034" max="12034" width="18.7109375" style="1" customWidth="1"/>
    <col min="12035" max="12035" width="8.28515625" style="1" customWidth="1"/>
    <col min="12036" max="12036" width="24.85546875" style="1" customWidth="1"/>
    <col min="12037" max="12037" width="6" style="1" bestFit="1" customWidth="1"/>
    <col min="12038" max="12038" width="9.85546875" style="1" bestFit="1" customWidth="1"/>
    <col min="12039" max="12042" width="8.85546875" style="1" bestFit="1" customWidth="1"/>
    <col min="12043" max="12043" width="8.7109375" style="1" bestFit="1" customWidth="1"/>
    <col min="12044" max="12044" width="9.5703125" style="1" customWidth="1"/>
    <col min="12045" max="12046" width="8.85546875" style="1" bestFit="1" customWidth="1"/>
    <col min="12047" max="12047" width="6.140625" style="1" customWidth="1"/>
    <col min="12048" max="12048" width="10.85546875" style="1" customWidth="1"/>
    <col min="12049" max="12049" width="8.7109375" style="1" customWidth="1"/>
    <col min="12050" max="12050" width="7.140625" style="1" customWidth="1"/>
    <col min="12051" max="12051" width="8.7109375" style="1" bestFit="1" customWidth="1"/>
    <col min="12052" max="12288" width="9.140625" style="1"/>
    <col min="12289" max="12289" width="6.42578125" style="1" customWidth="1"/>
    <col min="12290" max="12290" width="18.7109375" style="1" customWidth="1"/>
    <col min="12291" max="12291" width="8.28515625" style="1" customWidth="1"/>
    <col min="12292" max="12292" width="24.85546875" style="1" customWidth="1"/>
    <col min="12293" max="12293" width="6" style="1" bestFit="1" customWidth="1"/>
    <col min="12294" max="12294" width="9.85546875" style="1" bestFit="1" customWidth="1"/>
    <col min="12295" max="12298" width="8.85546875" style="1" bestFit="1" customWidth="1"/>
    <col min="12299" max="12299" width="8.7109375" style="1" bestFit="1" customWidth="1"/>
    <col min="12300" max="12300" width="9.5703125" style="1" customWidth="1"/>
    <col min="12301" max="12302" width="8.85546875" style="1" bestFit="1" customWidth="1"/>
    <col min="12303" max="12303" width="6.140625" style="1" customWidth="1"/>
    <col min="12304" max="12304" width="10.85546875" style="1" customWidth="1"/>
    <col min="12305" max="12305" width="8.7109375" style="1" customWidth="1"/>
    <col min="12306" max="12306" width="7.140625" style="1" customWidth="1"/>
    <col min="12307" max="12307" width="8.7109375" style="1" bestFit="1" customWidth="1"/>
    <col min="12308" max="12544" width="9.140625" style="1"/>
    <col min="12545" max="12545" width="6.42578125" style="1" customWidth="1"/>
    <col min="12546" max="12546" width="18.7109375" style="1" customWidth="1"/>
    <col min="12547" max="12547" width="8.28515625" style="1" customWidth="1"/>
    <col min="12548" max="12548" width="24.85546875" style="1" customWidth="1"/>
    <col min="12549" max="12549" width="6" style="1" bestFit="1" customWidth="1"/>
    <col min="12550" max="12550" width="9.85546875" style="1" bestFit="1" customWidth="1"/>
    <col min="12551" max="12554" width="8.85546875" style="1" bestFit="1" customWidth="1"/>
    <col min="12555" max="12555" width="8.7109375" style="1" bestFit="1" customWidth="1"/>
    <col min="12556" max="12556" width="9.5703125" style="1" customWidth="1"/>
    <col min="12557" max="12558" width="8.85546875" style="1" bestFit="1" customWidth="1"/>
    <col min="12559" max="12559" width="6.140625" style="1" customWidth="1"/>
    <col min="12560" max="12560" width="10.85546875" style="1" customWidth="1"/>
    <col min="12561" max="12561" width="8.7109375" style="1" customWidth="1"/>
    <col min="12562" max="12562" width="7.140625" style="1" customWidth="1"/>
    <col min="12563" max="12563" width="8.7109375" style="1" bestFit="1" customWidth="1"/>
    <col min="12564" max="12800" width="9.140625" style="1"/>
    <col min="12801" max="12801" width="6.42578125" style="1" customWidth="1"/>
    <col min="12802" max="12802" width="18.7109375" style="1" customWidth="1"/>
    <col min="12803" max="12803" width="8.28515625" style="1" customWidth="1"/>
    <col min="12804" max="12804" width="24.85546875" style="1" customWidth="1"/>
    <col min="12805" max="12805" width="6" style="1" bestFit="1" customWidth="1"/>
    <col min="12806" max="12806" width="9.85546875" style="1" bestFit="1" customWidth="1"/>
    <col min="12807" max="12810" width="8.85546875" style="1" bestFit="1" customWidth="1"/>
    <col min="12811" max="12811" width="8.7109375" style="1" bestFit="1" customWidth="1"/>
    <col min="12812" max="12812" width="9.5703125" style="1" customWidth="1"/>
    <col min="12813" max="12814" width="8.85546875" style="1" bestFit="1" customWidth="1"/>
    <col min="12815" max="12815" width="6.140625" style="1" customWidth="1"/>
    <col min="12816" max="12816" width="10.85546875" style="1" customWidth="1"/>
    <col min="12817" max="12817" width="8.7109375" style="1" customWidth="1"/>
    <col min="12818" max="12818" width="7.140625" style="1" customWidth="1"/>
    <col min="12819" max="12819" width="8.7109375" style="1" bestFit="1" customWidth="1"/>
    <col min="12820" max="13056" width="9.140625" style="1"/>
    <col min="13057" max="13057" width="6.42578125" style="1" customWidth="1"/>
    <col min="13058" max="13058" width="18.7109375" style="1" customWidth="1"/>
    <col min="13059" max="13059" width="8.28515625" style="1" customWidth="1"/>
    <col min="13060" max="13060" width="24.85546875" style="1" customWidth="1"/>
    <col min="13061" max="13061" width="6" style="1" bestFit="1" customWidth="1"/>
    <col min="13062" max="13062" width="9.85546875" style="1" bestFit="1" customWidth="1"/>
    <col min="13063" max="13066" width="8.85546875" style="1" bestFit="1" customWidth="1"/>
    <col min="13067" max="13067" width="8.7109375" style="1" bestFit="1" customWidth="1"/>
    <col min="13068" max="13068" width="9.5703125" style="1" customWidth="1"/>
    <col min="13069" max="13070" width="8.85546875" style="1" bestFit="1" customWidth="1"/>
    <col min="13071" max="13071" width="6.140625" style="1" customWidth="1"/>
    <col min="13072" max="13072" width="10.85546875" style="1" customWidth="1"/>
    <col min="13073" max="13073" width="8.7109375" style="1" customWidth="1"/>
    <col min="13074" max="13074" width="7.140625" style="1" customWidth="1"/>
    <col min="13075" max="13075" width="8.7109375" style="1" bestFit="1" customWidth="1"/>
    <col min="13076" max="13312" width="9.140625" style="1"/>
    <col min="13313" max="13313" width="6.42578125" style="1" customWidth="1"/>
    <col min="13314" max="13314" width="18.7109375" style="1" customWidth="1"/>
    <col min="13315" max="13315" width="8.28515625" style="1" customWidth="1"/>
    <col min="13316" max="13316" width="24.85546875" style="1" customWidth="1"/>
    <col min="13317" max="13317" width="6" style="1" bestFit="1" customWidth="1"/>
    <col min="13318" max="13318" width="9.85546875" style="1" bestFit="1" customWidth="1"/>
    <col min="13319" max="13322" width="8.85546875" style="1" bestFit="1" customWidth="1"/>
    <col min="13323" max="13323" width="8.7109375" style="1" bestFit="1" customWidth="1"/>
    <col min="13324" max="13324" width="9.5703125" style="1" customWidth="1"/>
    <col min="13325" max="13326" width="8.85546875" style="1" bestFit="1" customWidth="1"/>
    <col min="13327" max="13327" width="6.140625" style="1" customWidth="1"/>
    <col min="13328" max="13328" width="10.85546875" style="1" customWidth="1"/>
    <col min="13329" max="13329" width="8.7109375" style="1" customWidth="1"/>
    <col min="13330" max="13330" width="7.140625" style="1" customWidth="1"/>
    <col min="13331" max="13331" width="8.7109375" style="1" bestFit="1" customWidth="1"/>
    <col min="13332" max="13568" width="9.140625" style="1"/>
    <col min="13569" max="13569" width="6.42578125" style="1" customWidth="1"/>
    <col min="13570" max="13570" width="18.7109375" style="1" customWidth="1"/>
    <col min="13571" max="13571" width="8.28515625" style="1" customWidth="1"/>
    <col min="13572" max="13572" width="24.85546875" style="1" customWidth="1"/>
    <col min="13573" max="13573" width="6" style="1" bestFit="1" customWidth="1"/>
    <col min="13574" max="13574" width="9.85546875" style="1" bestFit="1" customWidth="1"/>
    <col min="13575" max="13578" width="8.85546875" style="1" bestFit="1" customWidth="1"/>
    <col min="13579" max="13579" width="8.7109375" style="1" bestFit="1" customWidth="1"/>
    <col min="13580" max="13580" width="9.5703125" style="1" customWidth="1"/>
    <col min="13581" max="13582" width="8.85546875" style="1" bestFit="1" customWidth="1"/>
    <col min="13583" max="13583" width="6.140625" style="1" customWidth="1"/>
    <col min="13584" max="13584" width="10.85546875" style="1" customWidth="1"/>
    <col min="13585" max="13585" width="8.7109375" style="1" customWidth="1"/>
    <col min="13586" max="13586" width="7.140625" style="1" customWidth="1"/>
    <col min="13587" max="13587" width="8.7109375" style="1" bestFit="1" customWidth="1"/>
    <col min="13588" max="13824" width="9.140625" style="1"/>
    <col min="13825" max="13825" width="6.42578125" style="1" customWidth="1"/>
    <col min="13826" max="13826" width="18.7109375" style="1" customWidth="1"/>
    <col min="13827" max="13827" width="8.28515625" style="1" customWidth="1"/>
    <col min="13828" max="13828" width="24.85546875" style="1" customWidth="1"/>
    <col min="13829" max="13829" width="6" style="1" bestFit="1" customWidth="1"/>
    <col min="13830" max="13830" width="9.85546875" style="1" bestFit="1" customWidth="1"/>
    <col min="13831" max="13834" width="8.85546875" style="1" bestFit="1" customWidth="1"/>
    <col min="13835" max="13835" width="8.7109375" style="1" bestFit="1" customWidth="1"/>
    <col min="13836" max="13836" width="9.5703125" style="1" customWidth="1"/>
    <col min="13837" max="13838" width="8.85546875" style="1" bestFit="1" customWidth="1"/>
    <col min="13839" max="13839" width="6.140625" style="1" customWidth="1"/>
    <col min="13840" max="13840" width="10.85546875" style="1" customWidth="1"/>
    <col min="13841" max="13841" width="8.7109375" style="1" customWidth="1"/>
    <col min="13842" max="13842" width="7.140625" style="1" customWidth="1"/>
    <col min="13843" max="13843" width="8.7109375" style="1" bestFit="1" customWidth="1"/>
    <col min="13844" max="14080" width="9.140625" style="1"/>
    <col min="14081" max="14081" width="6.42578125" style="1" customWidth="1"/>
    <col min="14082" max="14082" width="18.7109375" style="1" customWidth="1"/>
    <col min="14083" max="14083" width="8.28515625" style="1" customWidth="1"/>
    <col min="14084" max="14084" width="24.85546875" style="1" customWidth="1"/>
    <col min="14085" max="14085" width="6" style="1" bestFit="1" customWidth="1"/>
    <col min="14086" max="14086" width="9.85546875" style="1" bestFit="1" customWidth="1"/>
    <col min="14087" max="14090" width="8.85546875" style="1" bestFit="1" customWidth="1"/>
    <col min="14091" max="14091" width="8.7109375" style="1" bestFit="1" customWidth="1"/>
    <col min="14092" max="14092" width="9.5703125" style="1" customWidth="1"/>
    <col min="14093" max="14094" width="8.85546875" style="1" bestFit="1" customWidth="1"/>
    <col min="14095" max="14095" width="6.140625" style="1" customWidth="1"/>
    <col min="14096" max="14096" width="10.85546875" style="1" customWidth="1"/>
    <col min="14097" max="14097" width="8.7109375" style="1" customWidth="1"/>
    <col min="14098" max="14098" width="7.140625" style="1" customWidth="1"/>
    <col min="14099" max="14099" width="8.7109375" style="1" bestFit="1" customWidth="1"/>
    <col min="14100" max="14336" width="9.140625" style="1"/>
    <col min="14337" max="14337" width="6.42578125" style="1" customWidth="1"/>
    <col min="14338" max="14338" width="18.7109375" style="1" customWidth="1"/>
    <col min="14339" max="14339" width="8.28515625" style="1" customWidth="1"/>
    <col min="14340" max="14340" width="24.85546875" style="1" customWidth="1"/>
    <col min="14341" max="14341" width="6" style="1" bestFit="1" customWidth="1"/>
    <col min="14342" max="14342" width="9.85546875" style="1" bestFit="1" customWidth="1"/>
    <col min="14343" max="14346" width="8.85546875" style="1" bestFit="1" customWidth="1"/>
    <col min="14347" max="14347" width="8.7109375" style="1" bestFit="1" customWidth="1"/>
    <col min="14348" max="14348" width="9.5703125" style="1" customWidth="1"/>
    <col min="14349" max="14350" width="8.85546875" style="1" bestFit="1" customWidth="1"/>
    <col min="14351" max="14351" width="6.140625" style="1" customWidth="1"/>
    <col min="14352" max="14352" width="10.85546875" style="1" customWidth="1"/>
    <col min="14353" max="14353" width="8.7109375" style="1" customWidth="1"/>
    <col min="14354" max="14354" width="7.140625" style="1" customWidth="1"/>
    <col min="14355" max="14355" width="8.7109375" style="1" bestFit="1" customWidth="1"/>
    <col min="14356" max="14592" width="9.140625" style="1"/>
    <col min="14593" max="14593" width="6.42578125" style="1" customWidth="1"/>
    <col min="14594" max="14594" width="18.7109375" style="1" customWidth="1"/>
    <col min="14595" max="14595" width="8.28515625" style="1" customWidth="1"/>
    <col min="14596" max="14596" width="24.85546875" style="1" customWidth="1"/>
    <col min="14597" max="14597" width="6" style="1" bestFit="1" customWidth="1"/>
    <col min="14598" max="14598" width="9.85546875" style="1" bestFit="1" customWidth="1"/>
    <col min="14599" max="14602" width="8.85546875" style="1" bestFit="1" customWidth="1"/>
    <col min="14603" max="14603" width="8.7109375" style="1" bestFit="1" customWidth="1"/>
    <col min="14604" max="14604" width="9.5703125" style="1" customWidth="1"/>
    <col min="14605" max="14606" width="8.85546875" style="1" bestFit="1" customWidth="1"/>
    <col min="14607" max="14607" width="6.140625" style="1" customWidth="1"/>
    <col min="14608" max="14608" width="10.85546875" style="1" customWidth="1"/>
    <col min="14609" max="14609" width="8.7109375" style="1" customWidth="1"/>
    <col min="14610" max="14610" width="7.140625" style="1" customWidth="1"/>
    <col min="14611" max="14611" width="8.7109375" style="1" bestFit="1" customWidth="1"/>
    <col min="14612" max="14848" width="9.140625" style="1"/>
    <col min="14849" max="14849" width="6.42578125" style="1" customWidth="1"/>
    <col min="14850" max="14850" width="18.7109375" style="1" customWidth="1"/>
    <col min="14851" max="14851" width="8.28515625" style="1" customWidth="1"/>
    <col min="14852" max="14852" width="24.85546875" style="1" customWidth="1"/>
    <col min="14853" max="14853" width="6" style="1" bestFit="1" customWidth="1"/>
    <col min="14854" max="14854" width="9.85546875" style="1" bestFit="1" customWidth="1"/>
    <col min="14855" max="14858" width="8.85546875" style="1" bestFit="1" customWidth="1"/>
    <col min="14859" max="14859" width="8.7109375" style="1" bestFit="1" customWidth="1"/>
    <col min="14860" max="14860" width="9.5703125" style="1" customWidth="1"/>
    <col min="14861" max="14862" width="8.85546875" style="1" bestFit="1" customWidth="1"/>
    <col min="14863" max="14863" width="6.140625" style="1" customWidth="1"/>
    <col min="14864" max="14864" width="10.85546875" style="1" customWidth="1"/>
    <col min="14865" max="14865" width="8.7109375" style="1" customWidth="1"/>
    <col min="14866" max="14866" width="7.140625" style="1" customWidth="1"/>
    <col min="14867" max="14867" width="8.7109375" style="1" bestFit="1" customWidth="1"/>
    <col min="14868" max="15104" width="9.140625" style="1"/>
    <col min="15105" max="15105" width="6.42578125" style="1" customWidth="1"/>
    <col min="15106" max="15106" width="18.7109375" style="1" customWidth="1"/>
    <col min="15107" max="15107" width="8.28515625" style="1" customWidth="1"/>
    <col min="15108" max="15108" width="24.85546875" style="1" customWidth="1"/>
    <col min="15109" max="15109" width="6" style="1" bestFit="1" customWidth="1"/>
    <col min="15110" max="15110" width="9.85546875" style="1" bestFit="1" customWidth="1"/>
    <col min="15111" max="15114" width="8.85546875" style="1" bestFit="1" customWidth="1"/>
    <col min="15115" max="15115" width="8.7109375" style="1" bestFit="1" customWidth="1"/>
    <col min="15116" max="15116" width="9.5703125" style="1" customWidth="1"/>
    <col min="15117" max="15118" width="8.85546875" style="1" bestFit="1" customWidth="1"/>
    <col min="15119" max="15119" width="6.140625" style="1" customWidth="1"/>
    <col min="15120" max="15120" width="10.85546875" style="1" customWidth="1"/>
    <col min="15121" max="15121" width="8.7109375" style="1" customWidth="1"/>
    <col min="15122" max="15122" width="7.140625" style="1" customWidth="1"/>
    <col min="15123" max="15123" width="8.7109375" style="1" bestFit="1" customWidth="1"/>
    <col min="15124" max="15360" width="9.140625" style="1"/>
    <col min="15361" max="15361" width="6.42578125" style="1" customWidth="1"/>
    <col min="15362" max="15362" width="18.7109375" style="1" customWidth="1"/>
    <col min="15363" max="15363" width="8.28515625" style="1" customWidth="1"/>
    <col min="15364" max="15364" width="24.85546875" style="1" customWidth="1"/>
    <col min="15365" max="15365" width="6" style="1" bestFit="1" customWidth="1"/>
    <col min="15366" max="15366" width="9.85546875" style="1" bestFit="1" customWidth="1"/>
    <col min="15367" max="15370" width="8.85546875" style="1" bestFit="1" customWidth="1"/>
    <col min="15371" max="15371" width="8.7109375" style="1" bestFit="1" customWidth="1"/>
    <col min="15372" max="15372" width="9.5703125" style="1" customWidth="1"/>
    <col min="15373" max="15374" width="8.85546875" style="1" bestFit="1" customWidth="1"/>
    <col min="15375" max="15375" width="6.140625" style="1" customWidth="1"/>
    <col min="15376" max="15376" width="10.85546875" style="1" customWidth="1"/>
    <col min="15377" max="15377" width="8.7109375" style="1" customWidth="1"/>
    <col min="15378" max="15378" width="7.140625" style="1" customWidth="1"/>
    <col min="15379" max="15379" width="8.7109375" style="1" bestFit="1" customWidth="1"/>
    <col min="15380" max="15616" width="9.140625" style="1"/>
    <col min="15617" max="15617" width="6.42578125" style="1" customWidth="1"/>
    <col min="15618" max="15618" width="18.7109375" style="1" customWidth="1"/>
    <col min="15619" max="15619" width="8.28515625" style="1" customWidth="1"/>
    <col min="15620" max="15620" width="24.85546875" style="1" customWidth="1"/>
    <col min="15621" max="15621" width="6" style="1" bestFit="1" customWidth="1"/>
    <col min="15622" max="15622" width="9.85546875" style="1" bestFit="1" customWidth="1"/>
    <col min="15623" max="15626" width="8.85546875" style="1" bestFit="1" customWidth="1"/>
    <col min="15627" max="15627" width="8.7109375" style="1" bestFit="1" customWidth="1"/>
    <col min="15628" max="15628" width="9.5703125" style="1" customWidth="1"/>
    <col min="15629" max="15630" width="8.85546875" style="1" bestFit="1" customWidth="1"/>
    <col min="15631" max="15631" width="6.140625" style="1" customWidth="1"/>
    <col min="15632" max="15632" width="10.85546875" style="1" customWidth="1"/>
    <col min="15633" max="15633" width="8.7109375" style="1" customWidth="1"/>
    <col min="15634" max="15634" width="7.140625" style="1" customWidth="1"/>
    <col min="15635" max="15635" width="8.7109375" style="1" bestFit="1" customWidth="1"/>
    <col min="15636" max="15872" width="9.140625" style="1"/>
    <col min="15873" max="15873" width="6.42578125" style="1" customWidth="1"/>
    <col min="15874" max="15874" width="18.7109375" style="1" customWidth="1"/>
    <col min="15875" max="15875" width="8.28515625" style="1" customWidth="1"/>
    <col min="15876" max="15876" width="24.85546875" style="1" customWidth="1"/>
    <col min="15877" max="15877" width="6" style="1" bestFit="1" customWidth="1"/>
    <col min="15878" max="15878" width="9.85546875" style="1" bestFit="1" customWidth="1"/>
    <col min="15879" max="15882" width="8.85546875" style="1" bestFit="1" customWidth="1"/>
    <col min="15883" max="15883" width="8.7109375" style="1" bestFit="1" customWidth="1"/>
    <col min="15884" max="15884" width="9.5703125" style="1" customWidth="1"/>
    <col min="15885" max="15886" width="8.85546875" style="1" bestFit="1" customWidth="1"/>
    <col min="15887" max="15887" width="6.140625" style="1" customWidth="1"/>
    <col min="15888" max="15888" width="10.85546875" style="1" customWidth="1"/>
    <col min="15889" max="15889" width="8.7109375" style="1" customWidth="1"/>
    <col min="15890" max="15890" width="7.140625" style="1" customWidth="1"/>
    <col min="15891" max="15891" width="8.7109375" style="1" bestFit="1" customWidth="1"/>
    <col min="15892" max="16128" width="9.140625" style="1"/>
    <col min="16129" max="16129" width="6.42578125" style="1" customWidth="1"/>
    <col min="16130" max="16130" width="18.7109375" style="1" customWidth="1"/>
    <col min="16131" max="16131" width="8.28515625" style="1" customWidth="1"/>
    <col min="16132" max="16132" width="24.85546875" style="1" customWidth="1"/>
    <col min="16133" max="16133" width="6" style="1" bestFit="1" customWidth="1"/>
    <col min="16134" max="16134" width="9.85546875" style="1" bestFit="1" customWidth="1"/>
    <col min="16135" max="16138" width="8.85546875" style="1" bestFit="1" customWidth="1"/>
    <col min="16139" max="16139" width="8.7109375" style="1" bestFit="1" customWidth="1"/>
    <col min="16140" max="16140" width="9.5703125" style="1" customWidth="1"/>
    <col min="16141" max="16142" width="8.85546875" style="1" bestFit="1" customWidth="1"/>
    <col min="16143" max="16143" width="6.140625" style="1" customWidth="1"/>
    <col min="16144" max="16144" width="10.85546875" style="1" customWidth="1"/>
    <col min="16145" max="16145" width="8.7109375" style="1" customWidth="1"/>
    <col min="16146" max="16146" width="7.140625" style="1" customWidth="1"/>
    <col min="16147" max="16147" width="8.7109375" style="1" bestFit="1" customWidth="1"/>
    <col min="16148" max="16384" width="9.140625" style="1"/>
  </cols>
  <sheetData>
    <row r="1" spans="1:19" s="6" customFormat="1" ht="21" x14ac:dyDescent="0.35">
      <c r="A1" s="11" t="s">
        <v>583</v>
      </c>
      <c r="C1" s="10"/>
      <c r="E1" s="10"/>
    </row>
    <row r="2" spans="1:19" s="6" customFormat="1" ht="46.5" customHeight="1" x14ac:dyDescent="0.35">
      <c r="A2" s="93" t="s">
        <v>582</v>
      </c>
      <c r="B2" s="93"/>
      <c r="C2" s="93"/>
      <c r="D2" s="93"/>
      <c r="E2" s="93"/>
      <c r="F2" s="9"/>
      <c r="G2" s="9"/>
      <c r="H2" s="9"/>
      <c r="I2" s="9"/>
      <c r="J2" s="9"/>
      <c r="K2" s="9"/>
      <c r="L2" s="9"/>
      <c r="M2" s="9"/>
      <c r="N2" s="9"/>
      <c r="O2" s="8"/>
      <c r="P2" s="8"/>
      <c r="Q2" s="8"/>
      <c r="R2" s="7"/>
      <c r="S2" s="7"/>
    </row>
    <row r="3" spans="1:19" ht="47.25" x14ac:dyDescent="0.25">
      <c r="A3" s="14" t="s">
        <v>581</v>
      </c>
      <c r="B3" s="14" t="s">
        <v>580</v>
      </c>
      <c r="C3" s="20" t="s">
        <v>579</v>
      </c>
      <c r="D3" s="21" t="s">
        <v>578</v>
      </c>
      <c r="E3" s="21" t="s">
        <v>577</v>
      </c>
      <c r="F3" s="22" t="s">
        <v>576</v>
      </c>
      <c r="G3" s="22" t="s">
        <v>575</v>
      </c>
      <c r="H3" s="22" t="s">
        <v>574</v>
      </c>
      <c r="I3" s="22" t="s">
        <v>573</v>
      </c>
      <c r="J3" s="22" t="s">
        <v>572</v>
      </c>
      <c r="K3" s="22" t="s">
        <v>571</v>
      </c>
      <c r="L3" s="22" t="s">
        <v>570</v>
      </c>
      <c r="M3" s="22" t="s">
        <v>569</v>
      </c>
      <c r="N3" s="22" t="s">
        <v>568</v>
      </c>
      <c r="O3" s="23" t="s">
        <v>567</v>
      </c>
      <c r="P3" s="23" t="s">
        <v>566</v>
      </c>
      <c r="Q3" s="22" t="s">
        <v>565</v>
      </c>
      <c r="R3" s="22" t="s">
        <v>564</v>
      </c>
      <c r="S3" s="22" t="s">
        <v>563</v>
      </c>
    </row>
    <row r="4" spans="1:19" s="5" customFormat="1" ht="15.95" customHeight="1" x14ac:dyDescent="0.25">
      <c r="A4" s="24" t="s">
        <v>71</v>
      </c>
      <c r="B4" s="15" t="s">
        <v>560</v>
      </c>
      <c r="C4" s="25">
        <v>99</v>
      </c>
      <c r="D4" s="26" t="s">
        <v>562</v>
      </c>
      <c r="E4" s="27" t="s">
        <v>5</v>
      </c>
      <c r="F4" s="28">
        <v>1273312</v>
      </c>
      <c r="G4" s="28">
        <v>677260</v>
      </c>
      <c r="H4" s="28">
        <v>596052</v>
      </c>
      <c r="I4" s="28">
        <v>157100</v>
      </c>
      <c r="J4" s="28">
        <v>84110</v>
      </c>
      <c r="K4" s="28">
        <v>72990</v>
      </c>
      <c r="L4" s="28">
        <v>797481</v>
      </c>
      <c r="M4" s="28">
        <v>464086</v>
      </c>
      <c r="N4" s="28">
        <v>333395</v>
      </c>
      <c r="O4" s="29">
        <f t="shared" ref="O4:O67" si="0">ROUND((H4/G4)*1000,0)</f>
        <v>880</v>
      </c>
      <c r="P4" s="29">
        <f t="shared" ref="P4:P67" si="1">ROUND((K4/J4)*1000,0)</f>
        <v>868</v>
      </c>
      <c r="Q4" s="30">
        <f t="shared" ref="Q4:Q67" si="2">ROUND(L4/(F4-I4)*100,2)</f>
        <v>71.45</v>
      </c>
      <c r="R4" s="30">
        <f t="shared" ref="R4:R67" si="3">ROUND(M4/(G4-J4)*100,2)</f>
        <v>78.239999999999995</v>
      </c>
      <c r="S4" s="30">
        <f t="shared" ref="S4:S67" si="4">ROUND(N4/(H4-K4)*100,2)</f>
        <v>63.74</v>
      </c>
    </row>
    <row r="5" spans="1:19" s="5" customFormat="1" ht="15.95" customHeight="1" x14ac:dyDescent="0.25">
      <c r="A5" s="24" t="s">
        <v>71</v>
      </c>
      <c r="B5" s="15" t="s">
        <v>560</v>
      </c>
      <c r="C5" s="25" t="s">
        <v>32</v>
      </c>
      <c r="D5" s="26" t="s">
        <v>561</v>
      </c>
      <c r="E5" s="27" t="s">
        <v>5</v>
      </c>
      <c r="F5" s="28">
        <v>651826</v>
      </c>
      <c r="G5" s="28">
        <v>350035</v>
      </c>
      <c r="H5" s="28">
        <v>301791</v>
      </c>
      <c r="I5" s="28">
        <v>58424</v>
      </c>
      <c r="J5" s="28">
        <v>31979</v>
      </c>
      <c r="K5" s="28">
        <v>26445</v>
      </c>
      <c r="L5" s="28">
        <v>528017</v>
      </c>
      <c r="M5" s="28">
        <v>294652</v>
      </c>
      <c r="N5" s="28">
        <v>233365</v>
      </c>
      <c r="O5" s="29">
        <f t="shared" si="0"/>
        <v>862</v>
      </c>
      <c r="P5" s="29">
        <f t="shared" si="1"/>
        <v>827</v>
      </c>
      <c r="Q5" s="30">
        <f t="shared" si="2"/>
        <v>88.98</v>
      </c>
      <c r="R5" s="30">
        <f t="shared" si="3"/>
        <v>92.64</v>
      </c>
      <c r="S5" s="30">
        <f t="shared" si="4"/>
        <v>84.75</v>
      </c>
    </row>
    <row r="6" spans="1:19" s="5" customFormat="1" ht="15.95" customHeight="1" x14ac:dyDescent="0.25">
      <c r="A6" s="24" t="s">
        <v>71</v>
      </c>
      <c r="B6" s="15" t="s">
        <v>560</v>
      </c>
      <c r="C6" s="25">
        <v>99</v>
      </c>
      <c r="D6" s="26" t="s">
        <v>559</v>
      </c>
      <c r="E6" s="27" t="s">
        <v>5</v>
      </c>
      <c r="F6" s="28">
        <v>158785</v>
      </c>
      <c r="G6" s="28">
        <v>82023</v>
      </c>
      <c r="H6" s="28">
        <v>76762</v>
      </c>
      <c r="I6" s="28">
        <v>26001</v>
      </c>
      <c r="J6" s="28">
        <v>14013</v>
      </c>
      <c r="K6" s="28">
        <v>11988</v>
      </c>
      <c r="L6" s="28">
        <v>101256</v>
      </c>
      <c r="M6" s="28">
        <v>56988</v>
      </c>
      <c r="N6" s="28">
        <v>44268</v>
      </c>
      <c r="O6" s="29">
        <f t="shared" si="0"/>
        <v>936</v>
      </c>
      <c r="P6" s="29">
        <f t="shared" si="1"/>
        <v>855</v>
      </c>
      <c r="Q6" s="30">
        <f t="shared" si="2"/>
        <v>76.260000000000005</v>
      </c>
      <c r="R6" s="30">
        <f t="shared" si="3"/>
        <v>83.79</v>
      </c>
      <c r="S6" s="30">
        <f t="shared" si="4"/>
        <v>68.34</v>
      </c>
    </row>
    <row r="7" spans="1:19" s="5" customFormat="1" ht="15.95" customHeight="1" x14ac:dyDescent="0.25">
      <c r="A7" s="24" t="s">
        <v>7</v>
      </c>
      <c r="B7" s="15" t="s">
        <v>558</v>
      </c>
      <c r="C7" s="31">
        <v>11</v>
      </c>
      <c r="D7" s="32" t="s">
        <v>557</v>
      </c>
      <c r="E7" s="27" t="s">
        <v>5</v>
      </c>
      <c r="F7" s="33">
        <v>171817</v>
      </c>
      <c r="G7" s="33">
        <v>94797</v>
      </c>
      <c r="H7" s="33">
        <v>77020</v>
      </c>
      <c r="I7" s="33">
        <v>13784</v>
      </c>
      <c r="J7" s="33">
        <v>7291</v>
      </c>
      <c r="K7" s="33">
        <v>6493</v>
      </c>
      <c r="L7" s="33">
        <v>148775</v>
      </c>
      <c r="M7" s="33">
        <v>83045</v>
      </c>
      <c r="N7" s="33">
        <v>65730</v>
      </c>
      <c r="O7" s="29">
        <f t="shared" si="0"/>
        <v>812</v>
      </c>
      <c r="P7" s="29">
        <f t="shared" si="1"/>
        <v>891</v>
      </c>
      <c r="Q7" s="30">
        <f t="shared" si="2"/>
        <v>94.14</v>
      </c>
      <c r="R7" s="30">
        <f t="shared" si="3"/>
        <v>94.9</v>
      </c>
      <c r="S7" s="30">
        <f t="shared" si="4"/>
        <v>93.2</v>
      </c>
    </row>
    <row r="8" spans="1:19" s="5" customFormat="1" ht="15.95" customHeight="1" x14ac:dyDescent="0.25">
      <c r="A8" s="24" t="s">
        <v>2</v>
      </c>
      <c r="B8" s="15" t="s">
        <v>539</v>
      </c>
      <c r="C8" s="34">
        <v>7</v>
      </c>
      <c r="D8" s="35" t="s">
        <v>556</v>
      </c>
      <c r="E8" s="36" t="s">
        <v>0</v>
      </c>
      <c r="F8" s="37">
        <v>1613878</v>
      </c>
      <c r="G8" s="37">
        <v>874773</v>
      </c>
      <c r="H8" s="37">
        <v>739105</v>
      </c>
      <c r="I8" s="37">
        <v>173021</v>
      </c>
      <c r="J8" s="37">
        <v>92492</v>
      </c>
      <c r="K8" s="37">
        <v>80529</v>
      </c>
      <c r="L8" s="37">
        <v>1230218</v>
      </c>
      <c r="M8" s="37">
        <v>691161</v>
      </c>
      <c r="N8" s="37">
        <v>539057</v>
      </c>
      <c r="O8" s="29">
        <f t="shared" si="0"/>
        <v>845</v>
      </c>
      <c r="P8" s="29">
        <f t="shared" si="1"/>
        <v>871</v>
      </c>
      <c r="Q8" s="30">
        <f t="shared" si="2"/>
        <v>85.38</v>
      </c>
      <c r="R8" s="30">
        <f t="shared" si="3"/>
        <v>88.35</v>
      </c>
      <c r="S8" s="30">
        <f t="shared" si="4"/>
        <v>81.849999999999994</v>
      </c>
    </row>
    <row r="9" spans="1:19" s="5" customFormat="1" ht="15.95" customHeight="1" x14ac:dyDescent="0.25">
      <c r="A9" s="24" t="s">
        <v>2</v>
      </c>
      <c r="B9" s="15" t="s">
        <v>539</v>
      </c>
      <c r="C9" s="34">
        <v>15</v>
      </c>
      <c r="D9" s="35" t="s">
        <v>555</v>
      </c>
      <c r="E9" s="27" t="s">
        <v>5</v>
      </c>
      <c r="F9" s="37">
        <v>1183705</v>
      </c>
      <c r="G9" s="37">
        <v>630114</v>
      </c>
      <c r="H9" s="37">
        <v>553591</v>
      </c>
      <c r="I9" s="37">
        <v>115368</v>
      </c>
      <c r="J9" s="37">
        <v>63238</v>
      </c>
      <c r="K9" s="37">
        <v>52130</v>
      </c>
      <c r="L9" s="37">
        <v>904190</v>
      </c>
      <c r="M9" s="37">
        <v>495804</v>
      </c>
      <c r="N9" s="37">
        <v>408386</v>
      </c>
      <c r="O9" s="29">
        <f t="shared" si="0"/>
        <v>879</v>
      </c>
      <c r="P9" s="29">
        <f t="shared" si="1"/>
        <v>824</v>
      </c>
      <c r="Q9" s="30">
        <f t="shared" si="2"/>
        <v>84.64</v>
      </c>
      <c r="R9" s="30">
        <f t="shared" si="3"/>
        <v>87.46</v>
      </c>
      <c r="S9" s="30">
        <f t="shared" si="4"/>
        <v>81.44</v>
      </c>
    </row>
    <row r="10" spans="1:19" s="5" customFormat="1" ht="15.95" customHeight="1" x14ac:dyDescent="0.25">
      <c r="A10" s="24" t="s">
        <v>2</v>
      </c>
      <c r="B10" s="15" t="s">
        <v>539</v>
      </c>
      <c r="C10" s="34">
        <v>3</v>
      </c>
      <c r="D10" s="35" t="s">
        <v>554</v>
      </c>
      <c r="E10" s="27" t="s">
        <v>5</v>
      </c>
      <c r="F10" s="37">
        <v>873725</v>
      </c>
      <c r="G10" s="37">
        <v>463975</v>
      </c>
      <c r="H10" s="37">
        <v>409750</v>
      </c>
      <c r="I10" s="37">
        <v>84886</v>
      </c>
      <c r="J10" s="37">
        <v>45459</v>
      </c>
      <c r="K10" s="37">
        <v>39427</v>
      </c>
      <c r="L10" s="37">
        <v>674166</v>
      </c>
      <c r="M10" s="37">
        <v>368174</v>
      </c>
      <c r="N10" s="37">
        <v>305992</v>
      </c>
      <c r="O10" s="29">
        <f t="shared" si="0"/>
        <v>883</v>
      </c>
      <c r="P10" s="29">
        <f t="shared" si="1"/>
        <v>867</v>
      </c>
      <c r="Q10" s="30">
        <f t="shared" si="2"/>
        <v>85.46</v>
      </c>
      <c r="R10" s="30">
        <f t="shared" si="3"/>
        <v>87.97</v>
      </c>
      <c r="S10" s="30">
        <f t="shared" si="4"/>
        <v>82.63</v>
      </c>
    </row>
    <row r="11" spans="1:19" s="5" customFormat="1" ht="15.95" customHeight="1" x14ac:dyDescent="0.25">
      <c r="A11" s="24" t="s">
        <v>2</v>
      </c>
      <c r="B11" s="15" t="s">
        <v>539</v>
      </c>
      <c r="C11" s="34">
        <v>14</v>
      </c>
      <c r="D11" s="35" t="s">
        <v>553</v>
      </c>
      <c r="E11" s="27" t="s">
        <v>5</v>
      </c>
      <c r="F11" s="37">
        <v>445196</v>
      </c>
      <c r="G11" s="37">
        <v>236238</v>
      </c>
      <c r="H11" s="37">
        <v>208958</v>
      </c>
      <c r="I11" s="37">
        <v>42458</v>
      </c>
      <c r="J11" s="37">
        <v>22865</v>
      </c>
      <c r="K11" s="37">
        <v>19593</v>
      </c>
      <c r="L11" s="37">
        <v>348891</v>
      </c>
      <c r="M11" s="37">
        <v>191651</v>
      </c>
      <c r="N11" s="37">
        <v>157240</v>
      </c>
      <c r="O11" s="29">
        <f t="shared" si="0"/>
        <v>885</v>
      </c>
      <c r="P11" s="29">
        <f t="shared" si="1"/>
        <v>857</v>
      </c>
      <c r="Q11" s="30">
        <f t="shared" si="2"/>
        <v>86.63</v>
      </c>
      <c r="R11" s="30">
        <f t="shared" si="3"/>
        <v>89.82</v>
      </c>
      <c r="S11" s="30">
        <f t="shared" si="4"/>
        <v>83.04</v>
      </c>
    </row>
    <row r="12" spans="1:19" s="5" customFormat="1" ht="15.95" customHeight="1" x14ac:dyDescent="0.25">
      <c r="A12" s="24" t="s">
        <v>2</v>
      </c>
      <c r="B12" s="15" t="s">
        <v>539</v>
      </c>
      <c r="C12" s="34">
        <v>12</v>
      </c>
      <c r="D12" s="35" t="s">
        <v>552</v>
      </c>
      <c r="E12" s="36" t="s">
        <v>0</v>
      </c>
      <c r="F12" s="37">
        <v>285813</v>
      </c>
      <c r="G12" s="37">
        <v>151782</v>
      </c>
      <c r="H12" s="37">
        <v>134031</v>
      </c>
      <c r="I12" s="37">
        <v>30713</v>
      </c>
      <c r="J12" s="37">
        <v>16472</v>
      </c>
      <c r="K12" s="37">
        <v>14241</v>
      </c>
      <c r="L12" s="37">
        <v>211318</v>
      </c>
      <c r="M12" s="37">
        <v>118888</v>
      </c>
      <c r="N12" s="37">
        <v>92430</v>
      </c>
      <c r="O12" s="29">
        <f t="shared" si="0"/>
        <v>883</v>
      </c>
      <c r="P12" s="29">
        <f t="shared" si="1"/>
        <v>865</v>
      </c>
      <c r="Q12" s="30">
        <f t="shared" si="2"/>
        <v>82.84</v>
      </c>
      <c r="R12" s="30">
        <f t="shared" si="3"/>
        <v>87.86</v>
      </c>
      <c r="S12" s="30">
        <f t="shared" si="4"/>
        <v>77.16</v>
      </c>
    </row>
    <row r="13" spans="1:19" s="5" customFormat="1" ht="15.95" customHeight="1" x14ac:dyDescent="0.25">
      <c r="A13" s="24" t="s">
        <v>2</v>
      </c>
      <c r="B13" s="15" t="s">
        <v>539</v>
      </c>
      <c r="C13" s="34">
        <v>18</v>
      </c>
      <c r="D13" s="35" t="s">
        <v>551</v>
      </c>
      <c r="E13" s="27" t="s">
        <v>5</v>
      </c>
      <c r="F13" s="37">
        <v>176152</v>
      </c>
      <c r="G13" s="37">
        <v>92407</v>
      </c>
      <c r="H13" s="37">
        <v>83745</v>
      </c>
      <c r="I13" s="37">
        <v>16148</v>
      </c>
      <c r="J13" s="37">
        <v>8620</v>
      </c>
      <c r="K13" s="37">
        <v>7528</v>
      </c>
      <c r="L13" s="37">
        <v>148862</v>
      </c>
      <c r="M13" s="37">
        <v>79486</v>
      </c>
      <c r="N13" s="37">
        <v>69376</v>
      </c>
      <c r="O13" s="29">
        <f t="shared" si="0"/>
        <v>906</v>
      </c>
      <c r="P13" s="29">
        <f t="shared" si="1"/>
        <v>873</v>
      </c>
      <c r="Q13" s="30">
        <f t="shared" si="2"/>
        <v>93.04</v>
      </c>
      <c r="R13" s="30">
        <f t="shared" si="3"/>
        <v>94.87</v>
      </c>
      <c r="S13" s="30">
        <f t="shared" si="4"/>
        <v>91.02</v>
      </c>
    </row>
    <row r="14" spans="1:19" s="5" customFormat="1" ht="15.95" customHeight="1" x14ac:dyDescent="0.25">
      <c r="A14" s="24" t="s">
        <v>2</v>
      </c>
      <c r="B14" s="15" t="s">
        <v>539</v>
      </c>
      <c r="C14" s="34">
        <v>4</v>
      </c>
      <c r="D14" s="35" t="s">
        <v>550</v>
      </c>
      <c r="E14" s="36" t="s">
        <v>0</v>
      </c>
      <c r="F14" s="37">
        <v>168443</v>
      </c>
      <c r="G14" s="37">
        <v>88290</v>
      </c>
      <c r="H14" s="37">
        <v>80153</v>
      </c>
      <c r="I14" s="37">
        <v>16836</v>
      </c>
      <c r="J14" s="37">
        <v>9178</v>
      </c>
      <c r="K14" s="37">
        <v>7658</v>
      </c>
      <c r="L14" s="37">
        <v>135094</v>
      </c>
      <c r="M14" s="37">
        <v>72533</v>
      </c>
      <c r="N14" s="37">
        <v>62561</v>
      </c>
      <c r="O14" s="29">
        <f t="shared" si="0"/>
        <v>908</v>
      </c>
      <c r="P14" s="29">
        <f t="shared" si="1"/>
        <v>834</v>
      </c>
      <c r="Q14" s="30">
        <f t="shared" si="2"/>
        <v>89.11</v>
      </c>
      <c r="R14" s="30">
        <f t="shared" si="3"/>
        <v>91.68</v>
      </c>
      <c r="S14" s="30">
        <f t="shared" si="4"/>
        <v>86.3</v>
      </c>
    </row>
    <row r="15" spans="1:19" s="5" customFormat="1" ht="15.95" customHeight="1" x14ac:dyDescent="0.25">
      <c r="A15" s="24" t="s">
        <v>2</v>
      </c>
      <c r="B15" s="15" t="s">
        <v>539</v>
      </c>
      <c r="C15" s="34">
        <v>1</v>
      </c>
      <c r="D15" s="38" t="s">
        <v>549</v>
      </c>
      <c r="E15" s="27" t="s">
        <v>5</v>
      </c>
      <c r="F15" s="37">
        <v>159909</v>
      </c>
      <c r="G15" s="37">
        <v>84145</v>
      </c>
      <c r="H15" s="37">
        <v>75764</v>
      </c>
      <c r="I15" s="37">
        <v>14734</v>
      </c>
      <c r="J15" s="37">
        <v>8183</v>
      </c>
      <c r="K15" s="37">
        <v>6551</v>
      </c>
      <c r="L15" s="37">
        <v>128778</v>
      </c>
      <c r="M15" s="37">
        <v>69945</v>
      </c>
      <c r="N15" s="37">
        <v>58833</v>
      </c>
      <c r="O15" s="29">
        <f t="shared" si="0"/>
        <v>900</v>
      </c>
      <c r="P15" s="29">
        <f t="shared" si="1"/>
        <v>801</v>
      </c>
      <c r="Q15" s="30">
        <f t="shared" si="2"/>
        <v>88.71</v>
      </c>
      <c r="R15" s="30">
        <f t="shared" si="3"/>
        <v>92.08</v>
      </c>
      <c r="S15" s="30">
        <f t="shared" si="4"/>
        <v>85</v>
      </c>
    </row>
    <row r="16" spans="1:19" s="5" customFormat="1" ht="15.95" customHeight="1" x14ac:dyDescent="0.25">
      <c r="A16" s="24" t="s">
        <v>2</v>
      </c>
      <c r="B16" s="15" t="s">
        <v>539</v>
      </c>
      <c r="C16" s="34">
        <v>8</v>
      </c>
      <c r="D16" s="35" t="s">
        <v>548</v>
      </c>
      <c r="E16" s="27" t="s">
        <v>5</v>
      </c>
      <c r="F16" s="37">
        <v>159897</v>
      </c>
      <c r="G16" s="37">
        <v>84808</v>
      </c>
      <c r="H16" s="37">
        <v>75089</v>
      </c>
      <c r="I16" s="37">
        <v>16447</v>
      </c>
      <c r="J16" s="37">
        <v>8850</v>
      </c>
      <c r="K16" s="37">
        <v>7597</v>
      </c>
      <c r="L16" s="37">
        <v>116800</v>
      </c>
      <c r="M16" s="37">
        <v>64123</v>
      </c>
      <c r="N16" s="37">
        <v>52677</v>
      </c>
      <c r="O16" s="29">
        <f t="shared" si="0"/>
        <v>885</v>
      </c>
      <c r="P16" s="29">
        <f t="shared" si="1"/>
        <v>858</v>
      </c>
      <c r="Q16" s="30">
        <f t="shared" si="2"/>
        <v>81.42</v>
      </c>
      <c r="R16" s="30">
        <f t="shared" si="3"/>
        <v>84.42</v>
      </c>
      <c r="S16" s="30">
        <f t="shared" si="4"/>
        <v>78.05</v>
      </c>
    </row>
    <row r="17" spans="1:19" s="5" customFormat="1" ht="15.95" customHeight="1" x14ac:dyDescent="0.25">
      <c r="A17" s="24" t="s">
        <v>2</v>
      </c>
      <c r="B17" s="15" t="s">
        <v>539</v>
      </c>
      <c r="C17" s="34">
        <v>1</v>
      </c>
      <c r="D17" s="35" t="s">
        <v>547</v>
      </c>
      <c r="E17" s="27" t="s">
        <v>5</v>
      </c>
      <c r="F17" s="37">
        <v>158404</v>
      </c>
      <c r="G17" s="37">
        <v>83536</v>
      </c>
      <c r="H17" s="37">
        <v>74868</v>
      </c>
      <c r="I17" s="37">
        <v>14943</v>
      </c>
      <c r="J17" s="37">
        <v>8145</v>
      </c>
      <c r="K17" s="37">
        <v>6798</v>
      </c>
      <c r="L17" s="37">
        <v>122350</v>
      </c>
      <c r="M17" s="37">
        <v>66809</v>
      </c>
      <c r="N17" s="37">
        <v>55541</v>
      </c>
      <c r="O17" s="29">
        <f t="shared" si="0"/>
        <v>896</v>
      </c>
      <c r="P17" s="29">
        <f t="shared" si="1"/>
        <v>835</v>
      </c>
      <c r="Q17" s="30">
        <f t="shared" si="2"/>
        <v>85.28</v>
      </c>
      <c r="R17" s="30">
        <f t="shared" si="3"/>
        <v>88.62</v>
      </c>
      <c r="S17" s="30">
        <f t="shared" si="4"/>
        <v>81.59</v>
      </c>
    </row>
    <row r="18" spans="1:19" s="5" customFormat="1" ht="15.95" customHeight="1" x14ac:dyDescent="0.25">
      <c r="A18" s="24" t="s">
        <v>2</v>
      </c>
      <c r="B18" s="15" t="s">
        <v>539</v>
      </c>
      <c r="C18" s="34">
        <v>9</v>
      </c>
      <c r="D18" s="35" t="s">
        <v>546</v>
      </c>
      <c r="E18" s="36" t="s">
        <v>0</v>
      </c>
      <c r="F18" s="37">
        <v>145238</v>
      </c>
      <c r="G18" s="37">
        <v>76840</v>
      </c>
      <c r="H18" s="37">
        <v>68398</v>
      </c>
      <c r="I18" s="37">
        <v>15870</v>
      </c>
      <c r="J18" s="37">
        <v>8587</v>
      </c>
      <c r="K18" s="37">
        <v>7283</v>
      </c>
      <c r="L18" s="37">
        <v>103319</v>
      </c>
      <c r="M18" s="37">
        <v>58347</v>
      </c>
      <c r="N18" s="37">
        <v>44972</v>
      </c>
      <c r="O18" s="29">
        <f t="shared" si="0"/>
        <v>890</v>
      </c>
      <c r="P18" s="29">
        <f t="shared" si="1"/>
        <v>848</v>
      </c>
      <c r="Q18" s="30">
        <f t="shared" si="2"/>
        <v>79.86</v>
      </c>
      <c r="R18" s="30">
        <f t="shared" si="3"/>
        <v>85.49</v>
      </c>
      <c r="S18" s="30">
        <f t="shared" si="4"/>
        <v>73.59</v>
      </c>
    </row>
    <row r="19" spans="1:19" s="5" customFormat="1" ht="15.95" customHeight="1" x14ac:dyDescent="0.25">
      <c r="A19" s="24" t="s">
        <v>2</v>
      </c>
      <c r="B19" s="15" t="s">
        <v>539</v>
      </c>
      <c r="C19" s="34">
        <v>19</v>
      </c>
      <c r="D19" s="35" t="s">
        <v>545</v>
      </c>
      <c r="E19" s="36" t="s">
        <v>0</v>
      </c>
      <c r="F19" s="37">
        <v>135330</v>
      </c>
      <c r="G19" s="37">
        <v>71401</v>
      </c>
      <c r="H19" s="37">
        <v>63929</v>
      </c>
      <c r="I19" s="37">
        <v>16315</v>
      </c>
      <c r="J19" s="37">
        <v>8365</v>
      </c>
      <c r="K19" s="37">
        <v>7950</v>
      </c>
      <c r="L19" s="37">
        <v>83606</v>
      </c>
      <c r="M19" s="37">
        <v>47164</v>
      </c>
      <c r="N19" s="37">
        <v>36442</v>
      </c>
      <c r="O19" s="29">
        <f t="shared" si="0"/>
        <v>895</v>
      </c>
      <c r="P19" s="29">
        <f t="shared" si="1"/>
        <v>950</v>
      </c>
      <c r="Q19" s="30">
        <f t="shared" si="2"/>
        <v>70.25</v>
      </c>
      <c r="R19" s="30">
        <f t="shared" si="3"/>
        <v>74.819999999999993</v>
      </c>
      <c r="S19" s="30">
        <f t="shared" si="4"/>
        <v>65.099999999999994</v>
      </c>
    </row>
    <row r="20" spans="1:19" s="5" customFormat="1" ht="15.95" customHeight="1" x14ac:dyDescent="0.25">
      <c r="A20" s="24" t="s">
        <v>2</v>
      </c>
      <c r="B20" s="15" t="s">
        <v>539</v>
      </c>
      <c r="C20" s="34">
        <v>7</v>
      </c>
      <c r="D20" s="35" t="s">
        <v>544</v>
      </c>
      <c r="E20" s="36" t="s">
        <v>0</v>
      </c>
      <c r="F20" s="37">
        <v>128130</v>
      </c>
      <c r="G20" s="37">
        <v>67811</v>
      </c>
      <c r="H20" s="37">
        <v>60319</v>
      </c>
      <c r="I20" s="37">
        <v>13218</v>
      </c>
      <c r="J20" s="37">
        <v>7232</v>
      </c>
      <c r="K20" s="37">
        <v>5986</v>
      </c>
      <c r="L20" s="37">
        <v>97022</v>
      </c>
      <c r="M20" s="37">
        <v>53108</v>
      </c>
      <c r="N20" s="37">
        <v>43914</v>
      </c>
      <c r="O20" s="29">
        <f t="shared" si="0"/>
        <v>890</v>
      </c>
      <c r="P20" s="29">
        <f t="shared" si="1"/>
        <v>828</v>
      </c>
      <c r="Q20" s="30">
        <f t="shared" si="2"/>
        <v>84.43</v>
      </c>
      <c r="R20" s="30">
        <f t="shared" si="3"/>
        <v>87.67</v>
      </c>
      <c r="S20" s="30">
        <f t="shared" si="4"/>
        <v>80.819999999999993</v>
      </c>
    </row>
    <row r="21" spans="1:19" s="5" customFormat="1" ht="15.95" customHeight="1" x14ac:dyDescent="0.25">
      <c r="A21" s="24" t="s">
        <v>2</v>
      </c>
      <c r="B21" s="15" t="s">
        <v>539</v>
      </c>
      <c r="C21" s="34">
        <v>2</v>
      </c>
      <c r="D21" s="35" t="s">
        <v>543</v>
      </c>
      <c r="E21" s="27" t="s">
        <v>5</v>
      </c>
      <c r="F21" s="37">
        <v>117954</v>
      </c>
      <c r="G21" s="37">
        <v>62171</v>
      </c>
      <c r="H21" s="37">
        <v>55783</v>
      </c>
      <c r="I21" s="37">
        <v>11622</v>
      </c>
      <c r="J21" s="37">
        <v>6062</v>
      </c>
      <c r="K21" s="37">
        <v>5560</v>
      </c>
      <c r="L21" s="37">
        <v>92971</v>
      </c>
      <c r="M21" s="37">
        <v>51022</v>
      </c>
      <c r="N21" s="37">
        <v>41949</v>
      </c>
      <c r="O21" s="29">
        <f t="shared" si="0"/>
        <v>897</v>
      </c>
      <c r="P21" s="29">
        <f t="shared" si="1"/>
        <v>917</v>
      </c>
      <c r="Q21" s="30">
        <f t="shared" si="2"/>
        <v>87.43</v>
      </c>
      <c r="R21" s="30">
        <f t="shared" si="3"/>
        <v>90.93</v>
      </c>
      <c r="S21" s="30">
        <f t="shared" si="4"/>
        <v>83.53</v>
      </c>
    </row>
    <row r="22" spans="1:19" s="5" customFormat="1" ht="15.95" customHeight="1" x14ac:dyDescent="0.25">
      <c r="A22" s="24" t="s">
        <v>2</v>
      </c>
      <c r="B22" s="15" t="s">
        <v>539</v>
      </c>
      <c r="C22" s="34">
        <v>10</v>
      </c>
      <c r="D22" s="35" t="s">
        <v>542</v>
      </c>
      <c r="E22" s="36" t="s">
        <v>0</v>
      </c>
      <c r="F22" s="37">
        <v>117085</v>
      </c>
      <c r="G22" s="37">
        <v>62005</v>
      </c>
      <c r="H22" s="37">
        <v>55080</v>
      </c>
      <c r="I22" s="37">
        <v>13639</v>
      </c>
      <c r="J22" s="37">
        <v>7448</v>
      </c>
      <c r="K22" s="37">
        <v>6191</v>
      </c>
      <c r="L22" s="37">
        <v>79979</v>
      </c>
      <c r="M22" s="37">
        <v>45007</v>
      </c>
      <c r="N22" s="37">
        <v>34972</v>
      </c>
      <c r="O22" s="29">
        <f t="shared" si="0"/>
        <v>888</v>
      </c>
      <c r="P22" s="29">
        <f t="shared" si="1"/>
        <v>831</v>
      </c>
      <c r="Q22" s="30">
        <f t="shared" si="2"/>
        <v>77.31</v>
      </c>
      <c r="R22" s="30">
        <f t="shared" si="3"/>
        <v>82.5</v>
      </c>
      <c r="S22" s="30">
        <f t="shared" si="4"/>
        <v>71.53</v>
      </c>
    </row>
    <row r="23" spans="1:19" s="5" customFormat="1" ht="15.95" customHeight="1" x14ac:dyDescent="0.25">
      <c r="A23" s="24" t="s">
        <v>2</v>
      </c>
      <c r="B23" s="15" t="s">
        <v>539</v>
      </c>
      <c r="C23" s="34">
        <v>20</v>
      </c>
      <c r="D23" s="35" t="s">
        <v>541</v>
      </c>
      <c r="E23" s="36" t="s">
        <v>0</v>
      </c>
      <c r="F23" s="37">
        <v>116454</v>
      </c>
      <c r="G23" s="37">
        <v>62302</v>
      </c>
      <c r="H23" s="37">
        <v>54152</v>
      </c>
      <c r="I23" s="37">
        <v>12984</v>
      </c>
      <c r="J23" s="37">
        <v>7096</v>
      </c>
      <c r="K23" s="37">
        <v>5888</v>
      </c>
      <c r="L23" s="37">
        <v>82347</v>
      </c>
      <c r="M23" s="37">
        <v>46100</v>
      </c>
      <c r="N23" s="37">
        <v>36247</v>
      </c>
      <c r="O23" s="29">
        <f t="shared" si="0"/>
        <v>869</v>
      </c>
      <c r="P23" s="29">
        <f t="shared" si="1"/>
        <v>830</v>
      </c>
      <c r="Q23" s="30">
        <f t="shared" si="2"/>
        <v>79.59</v>
      </c>
      <c r="R23" s="30">
        <f t="shared" si="3"/>
        <v>83.51</v>
      </c>
      <c r="S23" s="30">
        <f t="shared" si="4"/>
        <v>75.099999999999994</v>
      </c>
    </row>
    <row r="24" spans="1:19" s="5" customFormat="1" ht="15.95" customHeight="1" x14ac:dyDescent="0.25">
      <c r="A24" s="24" t="s">
        <v>2</v>
      </c>
      <c r="B24" s="15" t="s">
        <v>539</v>
      </c>
      <c r="C24" s="34">
        <v>9</v>
      </c>
      <c r="D24" s="35" t="s">
        <v>540</v>
      </c>
      <c r="E24" s="36" t="s">
        <v>0</v>
      </c>
      <c r="F24" s="37">
        <v>110091</v>
      </c>
      <c r="G24" s="37">
        <v>58401</v>
      </c>
      <c r="H24" s="37">
        <v>51690</v>
      </c>
      <c r="I24" s="37">
        <v>11516</v>
      </c>
      <c r="J24" s="37">
        <v>6262</v>
      </c>
      <c r="K24" s="37">
        <v>5254</v>
      </c>
      <c r="L24" s="37">
        <v>78615</v>
      </c>
      <c r="M24" s="37">
        <v>43468</v>
      </c>
      <c r="N24" s="37">
        <v>35147</v>
      </c>
      <c r="O24" s="29">
        <f t="shared" si="0"/>
        <v>885</v>
      </c>
      <c r="P24" s="29">
        <f t="shared" si="1"/>
        <v>839</v>
      </c>
      <c r="Q24" s="30">
        <f t="shared" si="2"/>
        <v>79.75</v>
      </c>
      <c r="R24" s="30">
        <f t="shared" si="3"/>
        <v>83.37</v>
      </c>
      <c r="S24" s="30">
        <f t="shared" si="4"/>
        <v>75.69</v>
      </c>
    </row>
    <row r="25" spans="1:19" s="5" customFormat="1" ht="15.95" customHeight="1" x14ac:dyDescent="0.25">
      <c r="A25" s="24" t="s">
        <v>2</v>
      </c>
      <c r="B25" s="15" t="s">
        <v>539</v>
      </c>
      <c r="C25" s="34">
        <v>2</v>
      </c>
      <c r="D25" s="35" t="s">
        <v>538</v>
      </c>
      <c r="E25" s="36" t="s">
        <v>0</v>
      </c>
      <c r="F25" s="37">
        <v>101654</v>
      </c>
      <c r="G25" s="37">
        <v>55485</v>
      </c>
      <c r="H25" s="37">
        <v>46169</v>
      </c>
      <c r="I25" s="37">
        <v>9706</v>
      </c>
      <c r="J25" s="37">
        <v>5162</v>
      </c>
      <c r="K25" s="37">
        <v>4544</v>
      </c>
      <c r="L25" s="37">
        <v>78914</v>
      </c>
      <c r="M25" s="37">
        <v>44399</v>
      </c>
      <c r="N25" s="37">
        <v>34515</v>
      </c>
      <c r="O25" s="29">
        <f t="shared" si="0"/>
        <v>832</v>
      </c>
      <c r="P25" s="29">
        <f t="shared" si="1"/>
        <v>880</v>
      </c>
      <c r="Q25" s="30">
        <f t="shared" si="2"/>
        <v>85.82</v>
      </c>
      <c r="R25" s="30">
        <f t="shared" si="3"/>
        <v>88.23</v>
      </c>
      <c r="S25" s="30">
        <f t="shared" si="4"/>
        <v>82.92</v>
      </c>
    </row>
    <row r="26" spans="1:19" s="5" customFormat="1" ht="15.95" customHeight="1" x14ac:dyDescent="0.25">
      <c r="A26" s="24" t="s">
        <v>15</v>
      </c>
      <c r="B26" s="15" t="s">
        <v>537</v>
      </c>
      <c r="C26" s="39" t="s">
        <v>71</v>
      </c>
      <c r="D26" s="26" t="s">
        <v>536</v>
      </c>
      <c r="E26" s="27" t="s">
        <v>5</v>
      </c>
      <c r="F26" s="28">
        <v>1025682</v>
      </c>
      <c r="G26" s="28">
        <v>563127</v>
      </c>
      <c r="H26" s="28">
        <v>462555</v>
      </c>
      <c r="I26" s="28">
        <v>113698</v>
      </c>
      <c r="J26" s="28">
        <v>60902</v>
      </c>
      <c r="K26" s="28">
        <v>52796</v>
      </c>
      <c r="L26" s="28">
        <v>789436</v>
      </c>
      <c r="M26" s="28">
        <v>455276</v>
      </c>
      <c r="N26" s="28">
        <v>334160</v>
      </c>
      <c r="O26" s="29">
        <f t="shared" si="0"/>
        <v>821</v>
      </c>
      <c r="P26" s="29">
        <f t="shared" si="1"/>
        <v>867</v>
      </c>
      <c r="Q26" s="30">
        <f t="shared" si="2"/>
        <v>86.56</v>
      </c>
      <c r="R26" s="30">
        <f t="shared" si="3"/>
        <v>90.65</v>
      </c>
      <c r="S26" s="30">
        <f t="shared" si="4"/>
        <v>81.55</v>
      </c>
    </row>
    <row r="27" spans="1:19" s="5" customFormat="1" ht="15.95" customHeight="1" x14ac:dyDescent="0.25">
      <c r="A27" s="24" t="s">
        <v>25</v>
      </c>
      <c r="B27" s="15" t="s">
        <v>529</v>
      </c>
      <c r="C27" s="40" t="s">
        <v>25</v>
      </c>
      <c r="D27" s="41" t="s">
        <v>535</v>
      </c>
      <c r="E27" s="27" t="s">
        <v>5</v>
      </c>
      <c r="F27" s="42">
        <v>714223</v>
      </c>
      <c r="G27" s="42">
        <v>377174</v>
      </c>
      <c r="H27" s="42">
        <v>337049</v>
      </c>
      <c r="I27" s="42">
        <v>72859</v>
      </c>
      <c r="J27" s="42">
        <v>39047</v>
      </c>
      <c r="K27" s="42">
        <v>33812</v>
      </c>
      <c r="L27" s="42">
        <v>577303</v>
      </c>
      <c r="M27" s="42">
        <v>315896</v>
      </c>
      <c r="N27" s="42">
        <v>261407</v>
      </c>
      <c r="O27" s="29">
        <f t="shared" si="0"/>
        <v>894</v>
      </c>
      <c r="P27" s="29">
        <f t="shared" si="1"/>
        <v>866</v>
      </c>
      <c r="Q27" s="30">
        <f t="shared" si="2"/>
        <v>90.01</v>
      </c>
      <c r="R27" s="30">
        <f t="shared" si="3"/>
        <v>93.43</v>
      </c>
      <c r="S27" s="30">
        <f t="shared" si="4"/>
        <v>86.21</v>
      </c>
    </row>
    <row r="28" spans="1:19" s="5" customFormat="1" ht="15.95" customHeight="1" x14ac:dyDescent="0.25">
      <c r="A28" s="24" t="s">
        <v>25</v>
      </c>
      <c r="B28" s="15" t="s">
        <v>529</v>
      </c>
      <c r="C28" s="40">
        <v>13</v>
      </c>
      <c r="D28" s="32" t="s">
        <v>534</v>
      </c>
      <c r="E28" s="27" t="s">
        <v>5</v>
      </c>
      <c r="F28" s="28">
        <v>310562</v>
      </c>
      <c r="G28" s="28">
        <v>165667</v>
      </c>
      <c r="H28" s="28">
        <v>144895</v>
      </c>
      <c r="I28" s="28">
        <v>36819</v>
      </c>
      <c r="J28" s="28">
        <v>19697</v>
      </c>
      <c r="K28" s="28">
        <v>17122</v>
      </c>
      <c r="L28" s="28">
        <v>233857</v>
      </c>
      <c r="M28" s="28">
        <v>131004</v>
      </c>
      <c r="N28" s="28">
        <v>102853</v>
      </c>
      <c r="O28" s="29">
        <f t="shared" si="0"/>
        <v>875</v>
      </c>
      <c r="P28" s="29">
        <f t="shared" si="1"/>
        <v>869</v>
      </c>
      <c r="Q28" s="30">
        <f t="shared" si="2"/>
        <v>85.43</v>
      </c>
      <c r="R28" s="30">
        <f t="shared" si="3"/>
        <v>89.75</v>
      </c>
      <c r="S28" s="30">
        <f t="shared" si="4"/>
        <v>80.5</v>
      </c>
    </row>
    <row r="29" spans="1:19" s="5" customFormat="1" ht="15.95" customHeight="1" x14ac:dyDescent="0.25">
      <c r="A29" s="24" t="s">
        <v>25</v>
      </c>
      <c r="B29" s="15" t="s">
        <v>529</v>
      </c>
      <c r="C29" s="40">
        <v>13</v>
      </c>
      <c r="D29" s="32" t="s">
        <v>533</v>
      </c>
      <c r="E29" s="27" t="s">
        <v>5</v>
      </c>
      <c r="F29" s="28">
        <v>273502</v>
      </c>
      <c r="G29" s="28">
        <v>148042</v>
      </c>
      <c r="H29" s="28">
        <v>125460</v>
      </c>
      <c r="I29" s="28">
        <v>32729</v>
      </c>
      <c r="J29" s="28">
        <v>17866</v>
      </c>
      <c r="K29" s="28">
        <v>14863</v>
      </c>
      <c r="L29" s="28">
        <v>202946</v>
      </c>
      <c r="M29" s="28">
        <v>117028</v>
      </c>
      <c r="N29" s="28">
        <v>85918</v>
      </c>
      <c r="O29" s="29">
        <f t="shared" si="0"/>
        <v>847</v>
      </c>
      <c r="P29" s="29">
        <f t="shared" si="1"/>
        <v>832</v>
      </c>
      <c r="Q29" s="30">
        <f t="shared" si="2"/>
        <v>84.29</v>
      </c>
      <c r="R29" s="30">
        <f t="shared" si="3"/>
        <v>89.9</v>
      </c>
      <c r="S29" s="30">
        <f t="shared" si="4"/>
        <v>77.69</v>
      </c>
    </row>
    <row r="30" spans="1:19" s="5" customFormat="1" ht="15.95" customHeight="1" x14ac:dyDescent="0.25">
      <c r="A30" s="24" t="s">
        <v>25</v>
      </c>
      <c r="B30" s="15" t="s">
        <v>529</v>
      </c>
      <c r="C30" s="40">
        <v>11</v>
      </c>
      <c r="D30" s="41" t="s">
        <v>532</v>
      </c>
      <c r="E30" s="27" t="s">
        <v>5</v>
      </c>
      <c r="F30" s="33">
        <v>232060</v>
      </c>
      <c r="G30" s="33">
        <v>121363</v>
      </c>
      <c r="H30" s="33">
        <v>110697</v>
      </c>
      <c r="I30" s="33">
        <v>27906</v>
      </c>
      <c r="J30" s="33">
        <v>14817</v>
      </c>
      <c r="K30" s="33">
        <v>13089</v>
      </c>
      <c r="L30" s="33">
        <v>173874</v>
      </c>
      <c r="M30" s="33">
        <v>94063</v>
      </c>
      <c r="N30" s="33">
        <v>79811</v>
      </c>
      <c r="O30" s="29">
        <f t="shared" si="0"/>
        <v>912</v>
      </c>
      <c r="P30" s="29">
        <f t="shared" si="1"/>
        <v>883</v>
      </c>
      <c r="Q30" s="30">
        <f t="shared" si="2"/>
        <v>85.17</v>
      </c>
      <c r="R30" s="30">
        <f t="shared" si="3"/>
        <v>88.28</v>
      </c>
      <c r="S30" s="30">
        <f t="shared" si="4"/>
        <v>81.77</v>
      </c>
    </row>
    <row r="31" spans="1:19" s="5" customFormat="1" ht="15.95" customHeight="1" x14ac:dyDescent="0.25">
      <c r="A31" s="24" t="s">
        <v>25</v>
      </c>
      <c r="B31" s="15" t="s">
        <v>529</v>
      </c>
      <c r="C31" s="40">
        <v>12</v>
      </c>
      <c r="D31" s="41" t="s">
        <v>531</v>
      </c>
      <c r="E31" s="27" t="s">
        <v>5</v>
      </c>
      <c r="F31" s="33">
        <v>154485</v>
      </c>
      <c r="G31" s="33">
        <v>81527</v>
      </c>
      <c r="H31" s="33">
        <v>72958</v>
      </c>
      <c r="I31" s="33">
        <v>21443</v>
      </c>
      <c r="J31" s="33">
        <v>11249</v>
      </c>
      <c r="K31" s="33">
        <v>10194</v>
      </c>
      <c r="L31" s="33">
        <v>99665</v>
      </c>
      <c r="M31" s="33">
        <v>57368</v>
      </c>
      <c r="N31" s="33">
        <v>42297</v>
      </c>
      <c r="O31" s="29">
        <f t="shared" si="0"/>
        <v>895</v>
      </c>
      <c r="P31" s="29">
        <f t="shared" si="1"/>
        <v>906</v>
      </c>
      <c r="Q31" s="30">
        <f t="shared" si="2"/>
        <v>74.91</v>
      </c>
      <c r="R31" s="30">
        <f t="shared" si="3"/>
        <v>81.63</v>
      </c>
      <c r="S31" s="30">
        <f t="shared" si="4"/>
        <v>67.39</v>
      </c>
    </row>
    <row r="32" spans="1:19" s="5" customFormat="1" ht="15.95" customHeight="1" x14ac:dyDescent="0.25">
      <c r="A32" s="24" t="s">
        <v>25</v>
      </c>
      <c r="B32" s="15" t="s">
        <v>529</v>
      </c>
      <c r="C32" s="40">
        <v>12</v>
      </c>
      <c r="D32" s="43" t="s">
        <v>530</v>
      </c>
      <c r="E32" s="36" t="s">
        <v>0</v>
      </c>
      <c r="F32" s="33">
        <v>121610</v>
      </c>
      <c r="G32" s="33">
        <v>63625</v>
      </c>
      <c r="H32" s="33">
        <v>57985</v>
      </c>
      <c r="I32" s="33">
        <v>14381</v>
      </c>
      <c r="J32" s="33">
        <v>7792</v>
      </c>
      <c r="K32" s="33">
        <v>6589</v>
      </c>
      <c r="L32" s="33">
        <v>89433</v>
      </c>
      <c r="M32" s="33">
        <v>49030</v>
      </c>
      <c r="N32" s="33">
        <v>40403</v>
      </c>
      <c r="O32" s="29">
        <f t="shared" si="0"/>
        <v>911</v>
      </c>
      <c r="P32" s="29">
        <f t="shared" si="1"/>
        <v>846</v>
      </c>
      <c r="Q32" s="30">
        <f t="shared" si="2"/>
        <v>83.4</v>
      </c>
      <c r="R32" s="30">
        <f t="shared" si="3"/>
        <v>87.82</v>
      </c>
      <c r="S32" s="30">
        <f t="shared" si="4"/>
        <v>78.61</v>
      </c>
    </row>
    <row r="33" spans="1:19" s="5" customFormat="1" ht="15.95" customHeight="1" x14ac:dyDescent="0.25">
      <c r="A33" s="24" t="s">
        <v>25</v>
      </c>
      <c r="B33" s="15" t="s">
        <v>529</v>
      </c>
      <c r="C33" s="40" t="s">
        <v>25</v>
      </c>
      <c r="D33" s="41" t="s">
        <v>528</v>
      </c>
      <c r="E33" s="27" t="s">
        <v>5</v>
      </c>
      <c r="F33" s="42">
        <v>102158</v>
      </c>
      <c r="G33" s="42">
        <v>54466</v>
      </c>
      <c r="H33" s="42">
        <v>47692</v>
      </c>
      <c r="I33" s="42">
        <v>11507</v>
      </c>
      <c r="J33" s="42">
        <v>6259</v>
      </c>
      <c r="K33" s="42">
        <v>5248</v>
      </c>
      <c r="L33" s="42">
        <v>78738</v>
      </c>
      <c r="M33" s="42">
        <v>44453</v>
      </c>
      <c r="N33" s="42">
        <v>34285</v>
      </c>
      <c r="O33" s="29">
        <f t="shared" si="0"/>
        <v>876</v>
      </c>
      <c r="P33" s="29">
        <f t="shared" si="1"/>
        <v>838</v>
      </c>
      <c r="Q33" s="30">
        <f t="shared" si="2"/>
        <v>86.86</v>
      </c>
      <c r="R33" s="30">
        <f t="shared" si="3"/>
        <v>92.21</v>
      </c>
      <c r="S33" s="30">
        <f t="shared" si="4"/>
        <v>80.78</v>
      </c>
    </row>
    <row r="34" spans="1:19" s="5" customFormat="1" ht="15.95" customHeight="1" x14ac:dyDescent="0.25">
      <c r="A34" s="24" t="s">
        <v>74</v>
      </c>
      <c r="B34" s="15" t="s">
        <v>509</v>
      </c>
      <c r="C34" s="25">
        <v>20</v>
      </c>
      <c r="D34" s="26" t="s">
        <v>527</v>
      </c>
      <c r="E34" s="36" t="s">
        <v>0</v>
      </c>
      <c r="F34" s="28">
        <v>1404653</v>
      </c>
      <c r="G34" s="28">
        <v>750446</v>
      </c>
      <c r="H34" s="28">
        <v>654207</v>
      </c>
      <c r="I34" s="28">
        <v>176773</v>
      </c>
      <c r="J34" s="28">
        <v>95808</v>
      </c>
      <c r="K34" s="28">
        <v>80965</v>
      </c>
      <c r="L34" s="28">
        <v>1042168</v>
      </c>
      <c r="M34" s="28">
        <v>592024</v>
      </c>
      <c r="N34" s="28">
        <v>450144</v>
      </c>
      <c r="O34" s="29">
        <f t="shared" si="0"/>
        <v>872</v>
      </c>
      <c r="P34" s="29">
        <f t="shared" si="1"/>
        <v>845</v>
      </c>
      <c r="Q34" s="30">
        <f t="shared" si="2"/>
        <v>84.88</v>
      </c>
      <c r="R34" s="30">
        <f t="shared" si="3"/>
        <v>90.44</v>
      </c>
      <c r="S34" s="30">
        <f t="shared" si="4"/>
        <v>78.53</v>
      </c>
    </row>
    <row r="35" spans="1:19" s="5" customFormat="1" ht="15.95" customHeight="1" x14ac:dyDescent="0.25">
      <c r="A35" s="24" t="s">
        <v>74</v>
      </c>
      <c r="B35" s="15" t="s">
        <v>509</v>
      </c>
      <c r="C35" s="25">
        <v>18</v>
      </c>
      <c r="D35" s="26" t="s">
        <v>526</v>
      </c>
      <c r="E35" s="27" t="s">
        <v>5</v>
      </c>
      <c r="F35" s="28">
        <v>901968</v>
      </c>
      <c r="G35" s="28">
        <v>488808</v>
      </c>
      <c r="H35" s="28">
        <v>413160</v>
      </c>
      <c r="I35" s="28">
        <v>112094</v>
      </c>
      <c r="J35" s="28">
        <v>60766</v>
      </c>
      <c r="K35" s="28">
        <v>51328</v>
      </c>
      <c r="L35" s="28">
        <v>680955</v>
      </c>
      <c r="M35" s="28">
        <v>383441</v>
      </c>
      <c r="N35" s="28">
        <v>297514</v>
      </c>
      <c r="O35" s="29">
        <f t="shared" si="0"/>
        <v>845</v>
      </c>
      <c r="P35" s="29">
        <f t="shared" si="1"/>
        <v>845</v>
      </c>
      <c r="Q35" s="30">
        <f t="shared" si="2"/>
        <v>86.21</v>
      </c>
      <c r="R35" s="30">
        <f t="shared" si="3"/>
        <v>89.58</v>
      </c>
      <c r="S35" s="30">
        <f t="shared" si="4"/>
        <v>82.22</v>
      </c>
    </row>
    <row r="36" spans="1:19" s="5" customFormat="1" ht="15.95" customHeight="1" x14ac:dyDescent="0.25">
      <c r="A36" s="24" t="s">
        <v>74</v>
      </c>
      <c r="B36" s="15" t="s">
        <v>509</v>
      </c>
      <c r="C36" s="44" t="s">
        <v>57</v>
      </c>
      <c r="D36" s="26" t="s">
        <v>525</v>
      </c>
      <c r="E36" s="27" t="s">
        <v>5</v>
      </c>
      <c r="F36" s="28">
        <v>442277</v>
      </c>
      <c r="G36" s="28">
        <v>237006</v>
      </c>
      <c r="H36" s="28">
        <v>205271</v>
      </c>
      <c r="I36" s="28">
        <v>56581</v>
      </c>
      <c r="J36" s="28">
        <v>30579</v>
      </c>
      <c r="K36" s="28">
        <v>26002</v>
      </c>
      <c r="L36" s="28">
        <v>315317</v>
      </c>
      <c r="M36" s="28">
        <v>180281</v>
      </c>
      <c r="N36" s="28">
        <v>135036</v>
      </c>
      <c r="O36" s="29">
        <f t="shared" si="0"/>
        <v>866</v>
      </c>
      <c r="P36" s="29">
        <f t="shared" si="1"/>
        <v>850</v>
      </c>
      <c r="Q36" s="30">
        <f t="shared" si="2"/>
        <v>81.75</v>
      </c>
      <c r="R36" s="30">
        <f t="shared" si="3"/>
        <v>87.33</v>
      </c>
      <c r="S36" s="30">
        <f t="shared" si="4"/>
        <v>75.33</v>
      </c>
    </row>
    <row r="37" spans="1:19" s="5" customFormat="1" ht="15.95" customHeight="1" x14ac:dyDescent="0.25">
      <c r="A37" s="24" t="s">
        <v>74</v>
      </c>
      <c r="B37" s="15" t="s">
        <v>509</v>
      </c>
      <c r="C37" s="44" t="s">
        <v>2</v>
      </c>
      <c r="D37" s="26" t="s">
        <v>524</v>
      </c>
      <c r="E37" s="27" t="s">
        <v>5</v>
      </c>
      <c r="F37" s="28">
        <v>383318</v>
      </c>
      <c r="G37" s="28">
        <v>205346</v>
      </c>
      <c r="H37" s="28">
        <v>177972</v>
      </c>
      <c r="I37" s="28">
        <v>40950</v>
      </c>
      <c r="J37" s="28">
        <v>22450</v>
      </c>
      <c r="K37" s="28">
        <v>18500</v>
      </c>
      <c r="L37" s="28">
        <v>293475</v>
      </c>
      <c r="M37" s="28">
        <v>163791</v>
      </c>
      <c r="N37" s="28">
        <v>129684</v>
      </c>
      <c r="O37" s="29">
        <f t="shared" si="0"/>
        <v>867</v>
      </c>
      <c r="P37" s="29">
        <f t="shared" si="1"/>
        <v>824</v>
      </c>
      <c r="Q37" s="30">
        <f t="shared" si="2"/>
        <v>85.72</v>
      </c>
      <c r="R37" s="30">
        <f t="shared" si="3"/>
        <v>89.55</v>
      </c>
      <c r="S37" s="30">
        <f t="shared" si="4"/>
        <v>81.319999999999993</v>
      </c>
    </row>
    <row r="38" spans="1:19" s="5" customFormat="1" ht="15.95" customHeight="1" x14ac:dyDescent="0.25">
      <c r="A38" s="24" t="s">
        <v>74</v>
      </c>
      <c r="B38" s="15" t="s">
        <v>509</v>
      </c>
      <c r="C38" s="44" t="s">
        <v>101</v>
      </c>
      <c r="D38" s="26" t="s">
        <v>523</v>
      </c>
      <c r="E38" s="36" t="s">
        <v>0</v>
      </c>
      <c r="F38" s="28">
        <v>373133</v>
      </c>
      <c r="G38" s="28">
        <v>197754</v>
      </c>
      <c r="H38" s="28">
        <v>175379</v>
      </c>
      <c r="I38" s="28">
        <v>40715</v>
      </c>
      <c r="J38" s="28">
        <v>22711</v>
      </c>
      <c r="K38" s="28">
        <v>18004</v>
      </c>
      <c r="L38" s="28">
        <v>279509</v>
      </c>
      <c r="M38" s="28">
        <v>155679</v>
      </c>
      <c r="N38" s="28">
        <v>123830</v>
      </c>
      <c r="O38" s="29">
        <f t="shared" si="0"/>
        <v>887</v>
      </c>
      <c r="P38" s="29">
        <f t="shared" si="1"/>
        <v>793</v>
      </c>
      <c r="Q38" s="30">
        <f t="shared" si="2"/>
        <v>84.08</v>
      </c>
      <c r="R38" s="30">
        <f t="shared" si="3"/>
        <v>88.94</v>
      </c>
      <c r="S38" s="30">
        <f t="shared" si="4"/>
        <v>78.680000000000007</v>
      </c>
    </row>
    <row r="39" spans="1:19" s="5" customFormat="1" ht="15.95" customHeight="1" x14ac:dyDescent="0.25">
      <c r="A39" s="24" t="s">
        <v>74</v>
      </c>
      <c r="B39" s="15" t="s">
        <v>509</v>
      </c>
      <c r="C39" s="44" t="s">
        <v>43</v>
      </c>
      <c r="D39" s="26" t="s">
        <v>522</v>
      </c>
      <c r="E39" s="27" t="s">
        <v>5</v>
      </c>
      <c r="F39" s="28">
        <v>306893</v>
      </c>
      <c r="G39" s="28">
        <v>166623</v>
      </c>
      <c r="H39" s="28">
        <v>140270</v>
      </c>
      <c r="I39" s="28">
        <v>34005</v>
      </c>
      <c r="J39" s="28">
        <v>18268</v>
      </c>
      <c r="K39" s="28">
        <v>15737</v>
      </c>
      <c r="L39" s="28">
        <v>221498</v>
      </c>
      <c r="M39" s="28">
        <v>127996</v>
      </c>
      <c r="N39" s="28">
        <v>93502</v>
      </c>
      <c r="O39" s="29">
        <f t="shared" si="0"/>
        <v>842</v>
      </c>
      <c r="P39" s="29">
        <f t="shared" si="1"/>
        <v>861</v>
      </c>
      <c r="Q39" s="30">
        <f t="shared" si="2"/>
        <v>81.17</v>
      </c>
      <c r="R39" s="30">
        <f t="shared" si="3"/>
        <v>86.28</v>
      </c>
      <c r="S39" s="30">
        <f t="shared" si="4"/>
        <v>75.08</v>
      </c>
    </row>
    <row r="40" spans="1:19" s="5" customFormat="1" ht="15.95" customHeight="1" x14ac:dyDescent="0.25">
      <c r="A40" s="24" t="s">
        <v>74</v>
      </c>
      <c r="B40" s="15" t="s">
        <v>509</v>
      </c>
      <c r="C40" s="44" t="s">
        <v>74</v>
      </c>
      <c r="D40" s="26" t="s">
        <v>521</v>
      </c>
      <c r="E40" s="27" t="s">
        <v>5</v>
      </c>
      <c r="F40" s="28">
        <v>303425</v>
      </c>
      <c r="G40" s="28">
        <v>160659</v>
      </c>
      <c r="H40" s="28">
        <v>142766</v>
      </c>
      <c r="I40" s="28">
        <v>33321</v>
      </c>
      <c r="J40" s="28">
        <v>18450</v>
      </c>
      <c r="K40" s="28">
        <v>14871</v>
      </c>
      <c r="L40" s="28">
        <v>232334</v>
      </c>
      <c r="M40" s="28">
        <v>128508</v>
      </c>
      <c r="N40" s="28">
        <v>103826</v>
      </c>
      <c r="O40" s="29">
        <f t="shared" si="0"/>
        <v>889</v>
      </c>
      <c r="P40" s="29">
        <f t="shared" si="1"/>
        <v>806</v>
      </c>
      <c r="Q40" s="30">
        <f t="shared" si="2"/>
        <v>86.02</v>
      </c>
      <c r="R40" s="30">
        <f t="shared" si="3"/>
        <v>90.37</v>
      </c>
      <c r="S40" s="30">
        <f t="shared" si="4"/>
        <v>81.180000000000007</v>
      </c>
    </row>
    <row r="41" spans="1:19" s="5" customFormat="1" ht="15.95" customHeight="1" x14ac:dyDescent="0.25">
      <c r="A41" s="24" t="s">
        <v>74</v>
      </c>
      <c r="B41" s="15" t="s">
        <v>509</v>
      </c>
      <c r="C41" s="44" t="s">
        <v>34</v>
      </c>
      <c r="D41" s="26" t="s">
        <v>520</v>
      </c>
      <c r="E41" s="27" t="s">
        <v>5</v>
      </c>
      <c r="F41" s="28">
        <v>292339</v>
      </c>
      <c r="G41" s="28">
        <v>156246</v>
      </c>
      <c r="H41" s="28">
        <v>136093</v>
      </c>
      <c r="I41" s="28">
        <v>32932</v>
      </c>
      <c r="J41" s="28">
        <v>18457</v>
      </c>
      <c r="K41" s="28">
        <v>14475</v>
      </c>
      <c r="L41" s="28">
        <v>226261</v>
      </c>
      <c r="M41" s="28">
        <v>128216</v>
      </c>
      <c r="N41" s="28">
        <v>98045</v>
      </c>
      <c r="O41" s="29">
        <f t="shared" si="0"/>
        <v>871</v>
      </c>
      <c r="P41" s="29">
        <f t="shared" si="1"/>
        <v>784</v>
      </c>
      <c r="Q41" s="30">
        <f t="shared" si="2"/>
        <v>87.22</v>
      </c>
      <c r="R41" s="30">
        <f t="shared" si="3"/>
        <v>93.05</v>
      </c>
      <c r="S41" s="30">
        <f t="shared" si="4"/>
        <v>80.62</v>
      </c>
    </row>
    <row r="42" spans="1:19" s="5" customFormat="1" ht="15.95" customHeight="1" x14ac:dyDescent="0.25">
      <c r="A42" s="24" t="s">
        <v>74</v>
      </c>
      <c r="B42" s="15" t="s">
        <v>509</v>
      </c>
      <c r="C42" s="44" t="s">
        <v>71</v>
      </c>
      <c r="D42" s="41" t="s">
        <v>519</v>
      </c>
      <c r="E42" s="36" t="s">
        <v>0</v>
      </c>
      <c r="F42" s="28">
        <v>210175</v>
      </c>
      <c r="G42" s="28">
        <v>111622</v>
      </c>
      <c r="H42" s="28">
        <v>98553</v>
      </c>
      <c r="I42" s="28">
        <v>22111</v>
      </c>
      <c r="J42" s="28">
        <v>12024</v>
      </c>
      <c r="K42" s="28">
        <v>10087</v>
      </c>
      <c r="L42" s="28">
        <v>165235</v>
      </c>
      <c r="M42" s="28">
        <v>90938</v>
      </c>
      <c r="N42" s="28">
        <v>74297</v>
      </c>
      <c r="O42" s="29">
        <f t="shared" si="0"/>
        <v>883</v>
      </c>
      <c r="P42" s="29">
        <f t="shared" si="1"/>
        <v>839</v>
      </c>
      <c r="Q42" s="30">
        <f t="shared" si="2"/>
        <v>87.86</v>
      </c>
      <c r="R42" s="30">
        <f t="shared" si="3"/>
        <v>91.31</v>
      </c>
      <c r="S42" s="30">
        <f t="shared" si="4"/>
        <v>83.98</v>
      </c>
    </row>
    <row r="43" spans="1:19" s="5" customFormat="1" ht="15.95" customHeight="1" x14ac:dyDescent="0.25">
      <c r="A43" s="24" t="s">
        <v>74</v>
      </c>
      <c r="B43" s="15" t="s">
        <v>509</v>
      </c>
      <c r="C43" s="44" t="s">
        <v>7</v>
      </c>
      <c r="D43" s="26" t="s">
        <v>518</v>
      </c>
      <c r="E43" s="27" t="s">
        <v>5</v>
      </c>
      <c r="F43" s="28">
        <v>207934</v>
      </c>
      <c r="G43" s="28">
        <v>112840</v>
      </c>
      <c r="H43" s="28">
        <v>95094</v>
      </c>
      <c r="I43" s="28">
        <v>20687</v>
      </c>
      <c r="J43" s="28">
        <v>11257</v>
      </c>
      <c r="K43" s="28">
        <v>9430</v>
      </c>
      <c r="L43" s="28">
        <v>167233</v>
      </c>
      <c r="M43" s="28">
        <v>93215</v>
      </c>
      <c r="N43" s="28">
        <v>74018</v>
      </c>
      <c r="O43" s="29">
        <f t="shared" si="0"/>
        <v>843</v>
      </c>
      <c r="P43" s="29">
        <f t="shared" si="1"/>
        <v>838</v>
      </c>
      <c r="Q43" s="30">
        <f t="shared" si="2"/>
        <v>89.31</v>
      </c>
      <c r="R43" s="30">
        <f t="shared" si="3"/>
        <v>91.76</v>
      </c>
      <c r="S43" s="30">
        <f t="shared" si="4"/>
        <v>86.41</v>
      </c>
    </row>
    <row r="44" spans="1:19" s="5" customFormat="1" ht="15.95" customHeight="1" x14ac:dyDescent="0.25">
      <c r="A44" s="24" t="s">
        <v>74</v>
      </c>
      <c r="B44" s="15" t="s">
        <v>509</v>
      </c>
      <c r="C44" s="44" t="s">
        <v>60</v>
      </c>
      <c r="D44" s="26" t="s">
        <v>517</v>
      </c>
      <c r="E44" s="36" t="s">
        <v>0</v>
      </c>
      <c r="F44" s="28">
        <v>197662</v>
      </c>
      <c r="G44" s="28">
        <v>105372</v>
      </c>
      <c r="H44" s="28">
        <v>92290</v>
      </c>
      <c r="I44" s="28">
        <v>22507</v>
      </c>
      <c r="J44" s="28">
        <v>12444</v>
      </c>
      <c r="K44" s="28">
        <v>10063</v>
      </c>
      <c r="L44" s="28">
        <v>147807</v>
      </c>
      <c r="M44" s="28">
        <v>84028</v>
      </c>
      <c r="N44" s="28">
        <v>63779</v>
      </c>
      <c r="O44" s="29">
        <f t="shared" si="0"/>
        <v>876</v>
      </c>
      <c r="P44" s="29">
        <f t="shared" si="1"/>
        <v>809</v>
      </c>
      <c r="Q44" s="30">
        <f t="shared" si="2"/>
        <v>84.39</v>
      </c>
      <c r="R44" s="30">
        <f t="shared" si="3"/>
        <v>90.42</v>
      </c>
      <c r="S44" s="30">
        <f t="shared" si="4"/>
        <v>77.56</v>
      </c>
    </row>
    <row r="45" spans="1:19" s="5" customFormat="1" ht="15.95" customHeight="1" x14ac:dyDescent="0.25">
      <c r="A45" s="24" t="s">
        <v>74</v>
      </c>
      <c r="B45" s="15" t="s">
        <v>509</v>
      </c>
      <c r="C45" s="44" t="s">
        <v>7</v>
      </c>
      <c r="D45" s="26" t="s">
        <v>516</v>
      </c>
      <c r="E45" s="36" t="s">
        <v>0</v>
      </c>
      <c r="F45" s="28">
        <v>196216</v>
      </c>
      <c r="G45" s="28">
        <v>103533</v>
      </c>
      <c r="H45" s="28">
        <v>92683</v>
      </c>
      <c r="I45" s="28">
        <v>19645</v>
      </c>
      <c r="J45" s="28">
        <v>10713</v>
      </c>
      <c r="K45" s="28">
        <v>8932</v>
      </c>
      <c r="L45" s="28">
        <v>155780</v>
      </c>
      <c r="M45" s="28">
        <v>85004</v>
      </c>
      <c r="N45" s="28">
        <v>70776</v>
      </c>
      <c r="O45" s="29">
        <f t="shared" si="0"/>
        <v>895</v>
      </c>
      <c r="P45" s="29">
        <f t="shared" si="1"/>
        <v>834</v>
      </c>
      <c r="Q45" s="30">
        <f t="shared" si="2"/>
        <v>88.23</v>
      </c>
      <c r="R45" s="30">
        <f t="shared" si="3"/>
        <v>91.58</v>
      </c>
      <c r="S45" s="30">
        <f t="shared" si="4"/>
        <v>84.51</v>
      </c>
    </row>
    <row r="46" spans="1:19" s="5" customFormat="1" ht="15.95" customHeight="1" x14ac:dyDescent="0.25">
      <c r="A46" s="24" t="s">
        <v>74</v>
      </c>
      <c r="B46" s="15" t="s">
        <v>509</v>
      </c>
      <c r="C46" s="25">
        <v>11</v>
      </c>
      <c r="D46" s="26" t="s">
        <v>515</v>
      </c>
      <c r="E46" s="36" t="s">
        <v>0</v>
      </c>
      <c r="F46" s="28">
        <v>183282</v>
      </c>
      <c r="G46" s="28">
        <v>96806</v>
      </c>
      <c r="H46" s="28">
        <v>86476</v>
      </c>
      <c r="I46" s="28">
        <v>20161</v>
      </c>
      <c r="J46" s="28">
        <v>11161</v>
      </c>
      <c r="K46" s="28">
        <v>9000</v>
      </c>
      <c r="L46" s="28">
        <v>135435</v>
      </c>
      <c r="M46" s="28">
        <v>75796</v>
      </c>
      <c r="N46" s="28">
        <v>59639</v>
      </c>
      <c r="O46" s="29">
        <f t="shared" si="0"/>
        <v>893</v>
      </c>
      <c r="P46" s="29">
        <f t="shared" si="1"/>
        <v>806</v>
      </c>
      <c r="Q46" s="30">
        <f t="shared" si="2"/>
        <v>83.03</v>
      </c>
      <c r="R46" s="30">
        <f t="shared" si="3"/>
        <v>88.5</v>
      </c>
      <c r="S46" s="30">
        <f t="shared" si="4"/>
        <v>76.98</v>
      </c>
    </row>
    <row r="47" spans="1:19" s="5" customFormat="1" ht="15.95" customHeight="1" x14ac:dyDescent="0.25">
      <c r="A47" s="24" t="s">
        <v>74</v>
      </c>
      <c r="B47" s="15" t="s">
        <v>509</v>
      </c>
      <c r="C47" s="44" t="s">
        <v>103</v>
      </c>
      <c r="D47" s="26" t="s">
        <v>514</v>
      </c>
      <c r="E47" s="36" t="s">
        <v>0</v>
      </c>
      <c r="F47" s="28">
        <v>170426</v>
      </c>
      <c r="G47" s="28">
        <v>91736</v>
      </c>
      <c r="H47" s="28">
        <v>78690</v>
      </c>
      <c r="I47" s="28">
        <v>20374</v>
      </c>
      <c r="J47" s="28">
        <v>11420</v>
      </c>
      <c r="K47" s="28">
        <v>8954</v>
      </c>
      <c r="L47" s="28">
        <v>132108</v>
      </c>
      <c r="M47" s="28">
        <v>75714</v>
      </c>
      <c r="N47" s="28">
        <v>56394</v>
      </c>
      <c r="O47" s="29">
        <f t="shared" si="0"/>
        <v>858</v>
      </c>
      <c r="P47" s="29">
        <f t="shared" si="1"/>
        <v>784</v>
      </c>
      <c r="Q47" s="30">
        <f t="shared" si="2"/>
        <v>88.04</v>
      </c>
      <c r="R47" s="30">
        <f t="shared" si="3"/>
        <v>94.27</v>
      </c>
      <c r="S47" s="30">
        <f t="shared" si="4"/>
        <v>80.87</v>
      </c>
    </row>
    <row r="48" spans="1:19" s="5" customFormat="1" ht="15.95" customHeight="1" x14ac:dyDescent="0.25">
      <c r="A48" s="24" t="s">
        <v>74</v>
      </c>
      <c r="B48" s="15" t="s">
        <v>509</v>
      </c>
      <c r="C48" s="44" t="s">
        <v>55</v>
      </c>
      <c r="D48" s="26" t="s">
        <v>513</v>
      </c>
      <c r="E48" s="36" t="s">
        <v>0</v>
      </c>
      <c r="F48" s="28">
        <v>166225</v>
      </c>
      <c r="G48" s="28">
        <v>88561</v>
      </c>
      <c r="H48" s="28">
        <v>77664</v>
      </c>
      <c r="I48" s="28">
        <v>18825</v>
      </c>
      <c r="J48" s="28">
        <v>10280</v>
      </c>
      <c r="K48" s="28">
        <v>8545</v>
      </c>
      <c r="L48" s="28">
        <v>123267</v>
      </c>
      <c r="M48" s="28">
        <v>71129</v>
      </c>
      <c r="N48" s="28">
        <v>52138</v>
      </c>
      <c r="O48" s="29">
        <f t="shared" si="0"/>
        <v>877</v>
      </c>
      <c r="P48" s="29">
        <f t="shared" si="1"/>
        <v>831</v>
      </c>
      <c r="Q48" s="30">
        <f t="shared" si="2"/>
        <v>83.63</v>
      </c>
      <c r="R48" s="30">
        <f t="shared" si="3"/>
        <v>90.86</v>
      </c>
      <c r="S48" s="30">
        <f t="shared" si="4"/>
        <v>75.430000000000007</v>
      </c>
    </row>
    <row r="49" spans="1:19" s="5" customFormat="1" ht="15.95" customHeight="1" x14ac:dyDescent="0.25">
      <c r="A49" s="24" t="s">
        <v>74</v>
      </c>
      <c r="B49" s="15" t="s">
        <v>509</v>
      </c>
      <c r="C49" s="44" t="s">
        <v>15</v>
      </c>
      <c r="D49" s="26" t="s">
        <v>512</v>
      </c>
      <c r="E49" s="36" t="s">
        <v>0</v>
      </c>
      <c r="F49" s="28">
        <v>154962</v>
      </c>
      <c r="G49" s="28">
        <v>83655</v>
      </c>
      <c r="H49" s="28">
        <v>71307</v>
      </c>
      <c r="I49" s="28">
        <v>15594</v>
      </c>
      <c r="J49" s="28">
        <v>8401</v>
      </c>
      <c r="K49" s="28">
        <v>7193</v>
      </c>
      <c r="L49" s="28">
        <v>119482</v>
      </c>
      <c r="M49" s="28">
        <v>67646</v>
      </c>
      <c r="N49" s="28">
        <v>51836</v>
      </c>
      <c r="O49" s="29">
        <f t="shared" si="0"/>
        <v>852</v>
      </c>
      <c r="P49" s="29">
        <f t="shared" si="1"/>
        <v>856</v>
      </c>
      <c r="Q49" s="30">
        <f t="shared" si="2"/>
        <v>85.73</v>
      </c>
      <c r="R49" s="30">
        <f t="shared" si="3"/>
        <v>89.89</v>
      </c>
      <c r="S49" s="30">
        <f t="shared" si="4"/>
        <v>80.849999999999994</v>
      </c>
    </row>
    <row r="50" spans="1:19" s="5" customFormat="1" ht="15.95" customHeight="1" x14ac:dyDescent="0.25">
      <c r="A50" s="24" t="s">
        <v>74</v>
      </c>
      <c r="B50" s="15" t="s">
        <v>509</v>
      </c>
      <c r="C50" s="44" t="s">
        <v>25</v>
      </c>
      <c r="D50" s="26" t="s">
        <v>511</v>
      </c>
      <c r="E50" s="36" t="s">
        <v>0</v>
      </c>
      <c r="F50" s="28">
        <v>144633</v>
      </c>
      <c r="G50" s="28">
        <v>76657</v>
      </c>
      <c r="H50" s="28">
        <v>67976</v>
      </c>
      <c r="I50" s="28">
        <v>16690</v>
      </c>
      <c r="J50" s="28">
        <v>9156</v>
      </c>
      <c r="K50" s="28">
        <v>7534</v>
      </c>
      <c r="L50" s="28">
        <v>103329</v>
      </c>
      <c r="M50" s="28">
        <v>59162</v>
      </c>
      <c r="N50" s="28">
        <v>44167</v>
      </c>
      <c r="O50" s="29">
        <f t="shared" si="0"/>
        <v>887</v>
      </c>
      <c r="P50" s="29">
        <f t="shared" si="1"/>
        <v>823</v>
      </c>
      <c r="Q50" s="30">
        <f t="shared" si="2"/>
        <v>80.760000000000005</v>
      </c>
      <c r="R50" s="30">
        <f t="shared" si="3"/>
        <v>87.65</v>
      </c>
      <c r="S50" s="30">
        <f t="shared" si="4"/>
        <v>73.069999999999993</v>
      </c>
    </row>
    <row r="51" spans="1:19" s="5" customFormat="1" ht="15.95" customHeight="1" x14ac:dyDescent="0.25">
      <c r="A51" s="24" t="s">
        <v>74</v>
      </c>
      <c r="B51" s="15" t="s">
        <v>509</v>
      </c>
      <c r="C51" s="39">
        <v>17</v>
      </c>
      <c r="D51" s="26" t="s">
        <v>510</v>
      </c>
      <c r="E51" s="36" t="s">
        <v>0</v>
      </c>
      <c r="F51" s="28">
        <v>140864</v>
      </c>
      <c r="G51" s="28">
        <v>74689</v>
      </c>
      <c r="H51" s="28">
        <v>66175</v>
      </c>
      <c r="I51" s="28">
        <v>15986</v>
      </c>
      <c r="J51" s="28">
        <v>8958</v>
      </c>
      <c r="K51" s="28">
        <v>7028</v>
      </c>
      <c r="L51" s="28">
        <v>110205</v>
      </c>
      <c r="M51" s="28">
        <v>61933</v>
      </c>
      <c r="N51" s="28">
        <v>48272</v>
      </c>
      <c r="O51" s="29">
        <f t="shared" si="0"/>
        <v>886</v>
      </c>
      <c r="P51" s="29">
        <f t="shared" si="1"/>
        <v>785</v>
      </c>
      <c r="Q51" s="30">
        <f t="shared" si="2"/>
        <v>88.25</v>
      </c>
      <c r="R51" s="30">
        <f t="shared" si="3"/>
        <v>94.22</v>
      </c>
      <c r="S51" s="30">
        <f t="shared" si="4"/>
        <v>81.61</v>
      </c>
    </row>
    <row r="52" spans="1:19" s="5" customFormat="1" ht="15.95" customHeight="1" x14ac:dyDescent="0.25">
      <c r="A52" s="24" t="s">
        <v>74</v>
      </c>
      <c r="B52" s="15" t="s">
        <v>509</v>
      </c>
      <c r="C52" s="25">
        <v>21</v>
      </c>
      <c r="D52" s="26" t="s">
        <v>508</v>
      </c>
      <c r="E52" s="27" t="s">
        <v>5</v>
      </c>
      <c r="F52" s="28">
        <v>131121</v>
      </c>
      <c r="G52" s="28">
        <v>69560</v>
      </c>
      <c r="H52" s="28">
        <v>61561</v>
      </c>
      <c r="I52" s="28">
        <v>16196</v>
      </c>
      <c r="J52" s="28">
        <v>8903</v>
      </c>
      <c r="K52" s="28">
        <v>7293</v>
      </c>
      <c r="L52" s="28">
        <v>92964</v>
      </c>
      <c r="M52" s="28">
        <v>53250</v>
      </c>
      <c r="N52" s="28">
        <v>39714</v>
      </c>
      <c r="O52" s="29">
        <f t="shared" si="0"/>
        <v>885</v>
      </c>
      <c r="P52" s="29">
        <f t="shared" si="1"/>
        <v>819</v>
      </c>
      <c r="Q52" s="30">
        <f t="shared" si="2"/>
        <v>80.89</v>
      </c>
      <c r="R52" s="30">
        <f t="shared" si="3"/>
        <v>87.79</v>
      </c>
      <c r="S52" s="30">
        <f t="shared" si="4"/>
        <v>73.180000000000007</v>
      </c>
    </row>
    <row r="53" spans="1:19" s="5" customFormat="1" ht="15.95" customHeight="1" x14ac:dyDescent="0.25">
      <c r="A53" s="24" t="s">
        <v>57</v>
      </c>
      <c r="B53" s="15" t="s">
        <v>507</v>
      </c>
      <c r="C53" s="40">
        <v>99</v>
      </c>
      <c r="D53" s="26" t="s">
        <v>506</v>
      </c>
      <c r="E53" s="27" t="s">
        <v>5</v>
      </c>
      <c r="F53" s="28">
        <v>16314838</v>
      </c>
      <c r="G53" s="28">
        <v>8739213</v>
      </c>
      <c r="H53" s="28">
        <v>7575625</v>
      </c>
      <c r="I53" s="28">
        <v>1912253</v>
      </c>
      <c r="J53" s="28">
        <v>1023534</v>
      </c>
      <c r="K53" s="28">
        <v>888719</v>
      </c>
      <c r="L53" s="28">
        <v>12448848</v>
      </c>
      <c r="M53" s="28">
        <v>7025273</v>
      </c>
      <c r="N53" s="28">
        <v>5423575</v>
      </c>
      <c r="O53" s="29">
        <f t="shared" si="0"/>
        <v>867</v>
      </c>
      <c r="P53" s="29">
        <f t="shared" si="1"/>
        <v>868</v>
      </c>
      <c r="Q53" s="30">
        <f t="shared" si="2"/>
        <v>86.43</v>
      </c>
      <c r="R53" s="30">
        <f t="shared" si="3"/>
        <v>91.05</v>
      </c>
      <c r="S53" s="30">
        <f t="shared" si="4"/>
        <v>81.11</v>
      </c>
    </row>
    <row r="54" spans="1:19" s="5" customFormat="1" ht="15.95" customHeight="1" x14ac:dyDescent="0.25">
      <c r="A54" s="24" t="s">
        <v>34</v>
      </c>
      <c r="B54" s="15" t="s">
        <v>476</v>
      </c>
      <c r="C54" s="45" t="s">
        <v>43</v>
      </c>
      <c r="D54" s="46" t="s">
        <v>505</v>
      </c>
      <c r="E54" s="36" t="s">
        <v>0</v>
      </c>
      <c r="F54" s="47">
        <v>3073350</v>
      </c>
      <c r="G54" s="47">
        <v>1619280</v>
      </c>
      <c r="H54" s="47">
        <v>1454070</v>
      </c>
      <c r="I54" s="47">
        <v>378788</v>
      </c>
      <c r="J54" s="47">
        <v>204320</v>
      </c>
      <c r="K54" s="47">
        <v>174468</v>
      </c>
      <c r="L54" s="47">
        <v>2272724</v>
      </c>
      <c r="M54" s="47">
        <v>1282140</v>
      </c>
      <c r="N54" s="47">
        <v>990584</v>
      </c>
      <c r="O54" s="29">
        <f t="shared" si="0"/>
        <v>898</v>
      </c>
      <c r="P54" s="29">
        <f t="shared" si="1"/>
        <v>854</v>
      </c>
      <c r="Q54" s="30">
        <f t="shared" si="2"/>
        <v>84.34</v>
      </c>
      <c r="R54" s="30">
        <f t="shared" si="3"/>
        <v>90.61</v>
      </c>
      <c r="S54" s="30">
        <f t="shared" si="4"/>
        <v>77.41</v>
      </c>
    </row>
    <row r="55" spans="1:19" s="5" customFormat="1" ht="15.95" customHeight="1" x14ac:dyDescent="0.25">
      <c r="A55" s="24" t="s">
        <v>34</v>
      </c>
      <c r="B55" s="15" t="s">
        <v>476</v>
      </c>
      <c r="C55" s="45" t="s">
        <v>103</v>
      </c>
      <c r="D55" s="41" t="s">
        <v>504</v>
      </c>
      <c r="E55" s="27" t="s">
        <v>5</v>
      </c>
      <c r="F55" s="42">
        <v>1137815</v>
      </c>
      <c r="G55" s="42">
        <v>599332</v>
      </c>
      <c r="H55" s="42">
        <v>538483</v>
      </c>
      <c r="I55" s="42">
        <v>140703</v>
      </c>
      <c r="J55" s="42">
        <v>74225</v>
      </c>
      <c r="K55" s="42">
        <v>66478</v>
      </c>
      <c r="L55" s="42">
        <v>807733</v>
      </c>
      <c r="M55" s="42">
        <v>462139</v>
      </c>
      <c r="N55" s="42">
        <v>345594</v>
      </c>
      <c r="O55" s="29">
        <f t="shared" si="0"/>
        <v>898</v>
      </c>
      <c r="P55" s="29">
        <f t="shared" si="1"/>
        <v>896</v>
      </c>
      <c r="Q55" s="30">
        <f t="shared" si="2"/>
        <v>81.010000000000005</v>
      </c>
      <c r="R55" s="30">
        <f t="shared" si="3"/>
        <v>88.01</v>
      </c>
      <c r="S55" s="30">
        <f t="shared" si="4"/>
        <v>73.22</v>
      </c>
    </row>
    <row r="56" spans="1:19" s="5" customFormat="1" ht="15.95" customHeight="1" x14ac:dyDescent="0.25">
      <c r="A56" s="24" t="s">
        <v>34</v>
      </c>
      <c r="B56" s="15" t="s">
        <v>476</v>
      </c>
      <c r="C56" s="45" t="s">
        <v>93</v>
      </c>
      <c r="D56" s="26" t="s">
        <v>503</v>
      </c>
      <c r="E56" s="36" t="s">
        <v>0</v>
      </c>
      <c r="F56" s="28">
        <v>1001365</v>
      </c>
      <c r="G56" s="28">
        <v>529795</v>
      </c>
      <c r="H56" s="28">
        <v>471570</v>
      </c>
      <c r="I56" s="28">
        <v>118139</v>
      </c>
      <c r="J56" s="28">
        <v>62958</v>
      </c>
      <c r="K56" s="28">
        <v>55181</v>
      </c>
      <c r="L56" s="28">
        <v>738795</v>
      </c>
      <c r="M56" s="28">
        <v>422767</v>
      </c>
      <c r="N56" s="28">
        <v>316028</v>
      </c>
      <c r="O56" s="29">
        <f t="shared" si="0"/>
        <v>890</v>
      </c>
      <c r="P56" s="29">
        <f t="shared" si="1"/>
        <v>876</v>
      </c>
      <c r="Q56" s="30">
        <f t="shared" si="2"/>
        <v>83.65</v>
      </c>
      <c r="R56" s="30">
        <f t="shared" si="3"/>
        <v>90.56</v>
      </c>
      <c r="S56" s="30">
        <f t="shared" si="4"/>
        <v>75.900000000000006</v>
      </c>
    </row>
    <row r="57" spans="1:19" s="5" customFormat="1" ht="15.95" customHeight="1" x14ac:dyDescent="0.25">
      <c r="A57" s="24" t="s">
        <v>34</v>
      </c>
      <c r="B57" s="15" t="s">
        <v>476</v>
      </c>
      <c r="C57" s="48" t="s">
        <v>2</v>
      </c>
      <c r="D57" s="41" t="s">
        <v>502</v>
      </c>
      <c r="E57" s="36" t="s">
        <v>0</v>
      </c>
      <c r="F57" s="42">
        <v>647804</v>
      </c>
      <c r="G57" s="42">
        <v>340894</v>
      </c>
      <c r="H57" s="42">
        <v>306910</v>
      </c>
      <c r="I57" s="42">
        <v>82264</v>
      </c>
      <c r="J57" s="42">
        <v>43280</v>
      </c>
      <c r="K57" s="42">
        <v>38984</v>
      </c>
      <c r="L57" s="42">
        <v>451663</v>
      </c>
      <c r="M57" s="42">
        <v>259367</v>
      </c>
      <c r="N57" s="42">
        <v>192296</v>
      </c>
      <c r="O57" s="29">
        <f t="shared" si="0"/>
        <v>900</v>
      </c>
      <c r="P57" s="29">
        <f t="shared" si="1"/>
        <v>901</v>
      </c>
      <c r="Q57" s="30">
        <f t="shared" si="2"/>
        <v>79.86</v>
      </c>
      <c r="R57" s="30">
        <f t="shared" si="3"/>
        <v>87.15</v>
      </c>
      <c r="S57" s="30">
        <f t="shared" si="4"/>
        <v>71.77</v>
      </c>
    </row>
    <row r="58" spans="1:19" s="5" customFormat="1" ht="15.95" customHeight="1" x14ac:dyDescent="0.25">
      <c r="A58" s="24" t="s">
        <v>34</v>
      </c>
      <c r="B58" s="15" t="s">
        <v>476</v>
      </c>
      <c r="C58" s="45" t="s">
        <v>32</v>
      </c>
      <c r="D58" s="41" t="s">
        <v>501</v>
      </c>
      <c r="E58" s="27" t="s">
        <v>5</v>
      </c>
      <c r="F58" s="42">
        <v>551360</v>
      </c>
      <c r="G58" s="42">
        <v>283340</v>
      </c>
      <c r="H58" s="42">
        <v>268020</v>
      </c>
      <c r="I58" s="42">
        <v>60701</v>
      </c>
      <c r="J58" s="42">
        <v>32251</v>
      </c>
      <c r="K58" s="42">
        <v>28450</v>
      </c>
      <c r="L58" s="42">
        <v>428795</v>
      </c>
      <c r="M58" s="42">
        <v>234020</v>
      </c>
      <c r="N58" s="42">
        <v>194775</v>
      </c>
      <c r="O58" s="29">
        <f t="shared" si="0"/>
        <v>946</v>
      </c>
      <c r="P58" s="29">
        <f t="shared" si="1"/>
        <v>882</v>
      </c>
      <c r="Q58" s="30">
        <f t="shared" si="2"/>
        <v>87.39</v>
      </c>
      <c r="R58" s="30">
        <f t="shared" si="3"/>
        <v>93.2</v>
      </c>
      <c r="S58" s="30">
        <f t="shared" si="4"/>
        <v>81.3</v>
      </c>
    </row>
    <row r="59" spans="1:19" s="5" customFormat="1" ht="15.95" customHeight="1" x14ac:dyDescent="0.25">
      <c r="A59" s="24" t="s">
        <v>34</v>
      </c>
      <c r="B59" s="15" t="s">
        <v>476</v>
      </c>
      <c r="C59" s="45" t="s">
        <v>67</v>
      </c>
      <c r="D59" s="41" t="s">
        <v>500</v>
      </c>
      <c r="E59" s="27" t="s">
        <v>5</v>
      </c>
      <c r="F59" s="42">
        <v>475150</v>
      </c>
      <c r="G59" s="42">
        <v>246856</v>
      </c>
      <c r="H59" s="42">
        <v>228294</v>
      </c>
      <c r="I59" s="42">
        <v>49966</v>
      </c>
      <c r="J59" s="42">
        <v>26724</v>
      </c>
      <c r="K59" s="42">
        <v>23242</v>
      </c>
      <c r="L59" s="42">
        <v>384481</v>
      </c>
      <c r="M59" s="42">
        <v>210017</v>
      </c>
      <c r="N59" s="42">
        <v>174464</v>
      </c>
      <c r="O59" s="29">
        <f t="shared" si="0"/>
        <v>925</v>
      </c>
      <c r="P59" s="29">
        <f t="shared" si="1"/>
        <v>870</v>
      </c>
      <c r="Q59" s="30">
        <f t="shared" si="2"/>
        <v>90.43</v>
      </c>
      <c r="R59" s="30">
        <f t="shared" si="3"/>
        <v>95.41</v>
      </c>
      <c r="S59" s="30">
        <f t="shared" si="4"/>
        <v>85.08</v>
      </c>
    </row>
    <row r="60" spans="1:19" s="5" customFormat="1" ht="15.95" customHeight="1" x14ac:dyDescent="0.25">
      <c r="A60" s="24" t="s">
        <v>34</v>
      </c>
      <c r="B60" s="15" t="s">
        <v>476</v>
      </c>
      <c r="C60" s="45" t="s">
        <v>21</v>
      </c>
      <c r="D60" s="41" t="s">
        <v>499</v>
      </c>
      <c r="E60" s="36" t="s">
        <v>0</v>
      </c>
      <c r="F60" s="42">
        <v>360009</v>
      </c>
      <c r="G60" s="42">
        <v>187952</v>
      </c>
      <c r="H60" s="42">
        <v>172057</v>
      </c>
      <c r="I60" s="42">
        <v>45832</v>
      </c>
      <c r="J60" s="42">
        <v>24215</v>
      </c>
      <c r="K60" s="42">
        <v>21617</v>
      </c>
      <c r="L60" s="42">
        <v>264762</v>
      </c>
      <c r="M60" s="42">
        <v>150306</v>
      </c>
      <c r="N60" s="42">
        <v>114456</v>
      </c>
      <c r="O60" s="29">
        <f t="shared" si="0"/>
        <v>915</v>
      </c>
      <c r="P60" s="29">
        <f t="shared" si="1"/>
        <v>893</v>
      </c>
      <c r="Q60" s="30">
        <f t="shared" si="2"/>
        <v>84.27</v>
      </c>
      <c r="R60" s="30">
        <f t="shared" si="3"/>
        <v>91.8</v>
      </c>
      <c r="S60" s="30">
        <f t="shared" si="4"/>
        <v>76.08</v>
      </c>
    </row>
    <row r="61" spans="1:19" s="5" customFormat="1" ht="15.95" customHeight="1" x14ac:dyDescent="0.25">
      <c r="A61" s="24" t="s">
        <v>34</v>
      </c>
      <c r="B61" s="15" t="s">
        <v>476</v>
      </c>
      <c r="C61" s="45" t="s">
        <v>74</v>
      </c>
      <c r="D61" s="41" t="s">
        <v>498</v>
      </c>
      <c r="E61" s="27" t="s">
        <v>5</v>
      </c>
      <c r="F61" s="42">
        <v>341383</v>
      </c>
      <c r="G61" s="42">
        <v>180680</v>
      </c>
      <c r="H61" s="42">
        <v>160703</v>
      </c>
      <c r="I61" s="42">
        <v>38359</v>
      </c>
      <c r="J61" s="42">
        <v>20876</v>
      </c>
      <c r="K61" s="42">
        <v>17483</v>
      </c>
      <c r="L61" s="42">
        <v>261057</v>
      </c>
      <c r="M61" s="42">
        <v>149433</v>
      </c>
      <c r="N61" s="42">
        <v>111624</v>
      </c>
      <c r="O61" s="29">
        <f t="shared" si="0"/>
        <v>889</v>
      </c>
      <c r="P61" s="29">
        <f t="shared" si="1"/>
        <v>837</v>
      </c>
      <c r="Q61" s="30">
        <f t="shared" si="2"/>
        <v>86.15</v>
      </c>
      <c r="R61" s="30">
        <f t="shared" si="3"/>
        <v>93.51</v>
      </c>
      <c r="S61" s="30">
        <f t="shared" si="4"/>
        <v>77.94</v>
      </c>
    </row>
    <row r="62" spans="1:19" s="5" customFormat="1" ht="15.95" customHeight="1" x14ac:dyDescent="0.25">
      <c r="A62" s="24" t="s">
        <v>34</v>
      </c>
      <c r="B62" s="15" t="s">
        <v>476</v>
      </c>
      <c r="C62" s="45" t="s">
        <v>57</v>
      </c>
      <c r="D62" s="41" t="s">
        <v>497</v>
      </c>
      <c r="E62" s="27" t="s">
        <v>5</v>
      </c>
      <c r="F62" s="42">
        <v>252606</v>
      </c>
      <c r="G62" s="42">
        <v>134348</v>
      </c>
      <c r="H62" s="42">
        <v>118258</v>
      </c>
      <c r="I62" s="42">
        <v>31617</v>
      </c>
      <c r="J62" s="42">
        <v>17288</v>
      </c>
      <c r="K62" s="42">
        <v>14329</v>
      </c>
      <c r="L62" s="42">
        <v>181423</v>
      </c>
      <c r="M62" s="42">
        <v>105814</v>
      </c>
      <c r="N62" s="42">
        <v>75609</v>
      </c>
      <c r="O62" s="29">
        <f t="shared" si="0"/>
        <v>880</v>
      </c>
      <c r="P62" s="29">
        <f t="shared" si="1"/>
        <v>829</v>
      </c>
      <c r="Q62" s="30">
        <f t="shared" si="2"/>
        <v>82.1</v>
      </c>
      <c r="R62" s="30">
        <f t="shared" si="3"/>
        <v>90.39</v>
      </c>
      <c r="S62" s="30">
        <f t="shared" si="4"/>
        <v>72.75</v>
      </c>
    </row>
    <row r="63" spans="1:19" s="5" customFormat="1" ht="15.95" customHeight="1" x14ac:dyDescent="0.25">
      <c r="A63" s="24" t="s">
        <v>34</v>
      </c>
      <c r="B63" s="15" t="s">
        <v>476</v>
      </c>
      <c r="C63" s="45" t="s">
        <v>71</v>
      </c>
      <c r="D63" s="41" t="s">
        <v>496</v>
      </c>
      <c r="E63" s="27" t="s">
        <v>5</v>
      </c>
      <c r="F63" s="49">
        <v>250041</v>
      </c>
      <c r="G63" s="49">
        <v>134435</v>
      </c>
      <c r="H63" s="49">
        <v>115606</v>
      </c>
      <c r="I63" s="49">
        <v>27850</v>
      </c>
      <c r="J63" s="49">
        <v>15311</v>
      </c>
      <c r="K63" s="49">
        <v>12539</v>
      </c>
      <c r="L63" s="49">
        <v>183757</v>
      </c>
      <c r="M63" s="49">
        <v>105504</v>
      </c>
      <c r="N63" s="49">
        <v>78253</v>
      </c>
      <c r="O63" s="29">
        <f t="shared" si="0"/>
        <v>860</v>
      </c>
      <c r="P63" s="29">
        <f t="shared" si="1"/>
        <v>819</v>
      </c>
      <c r="Q63" s="30">
        <f t="shared" si="2"/>
        <v>82.7</v>
      </c>
      <c r="R63" s="30">
        <f t="shared" si="3"/>
        <v>88.57</v>
      </c>
      <c r="S63" s="30">
        <f t="shared" si="4"/>
        <v>75.92</v>
      </c>
    </row>
    <row r="64" spans="1:19" s="5" customFormat="1" ht="15.95" customHeight="1" x14ac:dyDescent="0.25">
      <c r="A64" s="24" t="s">
        <v>34</v>
      </c>
      <c r="B64" s="15" t="s">
        <v>476</v>
      </c>
      <c r="C64" s="45" t="s">
        <v>60</v>
      </c>
      <c r="D64" s="41" t="s">
        <v>495</v>
      </c>
      <c r="E64" s="27" t="s">
        <v>5</v>
      </c>
      <c r="F64" s="42">
        <v>244563</v>
      </c>
      <c r="G64" s="42">
        <v>126964</v>
      </c>
      <c r="H64" s="42">
        <v>117599</v>
      </c>
      <c r="I64" s="42">
        <v>32967</v>
      </c>
      <c r="J64" s="42">
        <v>17686</v>
      </c>
      <c r="K64" s="42">
        <v>15281</v>
      </c>
      <c r="L64" s="42">
        <v>163461</v>
      </c>
      <c r="M64" s="42">
        <v>94468</v>
      </c>
      <c r="N64" s="42">
        <v>68993</v>
      </c>
      <c r="O64" s="29">
        <f t="shared" si="0"/>
        <v>926</v>
      </c>
      <c r="P64" s="29">
        <f t="shared" si="1"/>
        <v>864</v>
      </c>
      <c r="Q64" s="30">
        <f t="shared" si="2"/>
        <v>77.25</v>
      </c>
      <c r="R64" s="30">
        <f t="shared" si="3"/>
        <v>86.45</v>
      </c>
      <c r="S64" s="30">
        <f t="shared" si="4"/>
        <v>67.430000000000007</v>
      </c>
    </row>
    <row r="65" spans="1:19" s="5" customFormat="1" ht="15.95" customHeight="1" x14ac:dyDescent="0.25">
      <c r="A65" s="24" t="s">
        <v>34</v>
      </c>
      <c r="B65" s="15" t="s">
        <v>476</v>
      </c>
      <c r="C65" s="45" t="s">
        <v>18</v>
      </c>
      <c r="D65" s="26" t="s">
        <v>494</v>
      </c>
      <c r="E65" s="36" t="s">
        <v>0</v>
      </c>
      <c r="F65" s="28">
        <v>229956</v>
      </c>
      <c r="G65" s="28">
        <v>120008</v>
      </c>
      <c r="H65" s="28">
        <v>109948</v>
      </c>
      <c r="I65" s="28">
        <v>30566</v>
      </c>
      <c r="J65" s="28">
        <v>16257</v>
      </c>
      <c r="K65" s="28">
        <v>14309</v>
      </c>
      <c r="L65" s="28">
        <v>156858</v>
      </c>
      <c r="M65" s="28">
        <v>92705</v>
      </c>
      <c r="N65" s="28">
        <v>64153</v>
      </c>
      <c r="O65" s="29">
        <f t="shared" si="0"/>
        <v>916</v>
      </c>
      <c r="P65" s="29">
        <f t="shared" si="1"/>
        <v>880</v>
      </c>
      <c r="Q65" s="30">
        <f t="shared" si="2"/>
        <v>78.67</v>
      </c>
      <c r="R65" s="30">
        <f t="shared" si="3"/>
        <v>89.35</v>
      </c>
      <c r="S65" s="30">
        <f t="shared" si="4"/>
        <v>67.08</v>
      </c>
    </row>
    <row r="66" spans="1:19" s="5" customFormat="1" ht="15.95" customHeight="1" x14ac:dyDescent="0.25">
      <c r="A66" s="24" t="s">
        <v>34</v>
      </c>
      <c r="B66" s="15" t="s">
        <v>476</v>
      </c>
      <c r="C66" s="45" t="s">
        <v>62</v>
      </c>
      <c r="D66" s="41" t="s">
        <v>493</v>
      </c>
      <c r="E66" s="36" t="s">
        <v>0</v>
      </c>
      <c r="F66" s="28">
        <v>165363</v>
      </c>
      <c r="G66" s="28">
        <v>84927</v>
      </c>
      <c r="H66" s="28">
        <v>80436</v>
      </c>
      <c r="I66" s="28">
        <v>23122</v>
      </c>
      <c r="J66" s="28">
        <v>12280</v>
      </c>
      <c r="K66" s="28">
        <v>10842</v>
      </c>
      <c r="L66" s="28">
        <v>98819</v>
      </c>
      <c r="M66" s="28">
        <v>57170</v>
      </c>
      <c r="N66" s="28">
        <v>41649</v>
      </c>
      <c r="O66" s="29">
        <f t="shared" si="0"/>
        <v>947</v>
      </c>
      <c r="P66" s="29">
        <f t="shared" si="1"/>
        <v>883</v>
      </c>
      <c r="Q66" s="30">
        <f t="shared" si="2"/>
        <v>69.47</v>
      </c>
      <c r="R66" s="30">
        <f t="shared" si="3"/>
        <v>78.7</v>
      </c>
      <c r="S66" s="30">
        <f t="shared" si="4"/>
        <v>59.85</v>
      </c>
    </row>
    <row r="67" spans="1:19" s="5" customFormat="1" ht="15.95" customHeight="1" x14ac:dyDescent="0.25">
      <c r="A67" s="24" t="s">
        <v>34</v>
      </c>
      <c r="B67" s="15" t="s">
        <v>476</v>
      </c>
      <c r="C67" s="45" t="s">
        <v>32</v>
      </c>
      <c r="D67" s="41" t="s">
        <v>492</v>
      </c>
      <c r="E67" s="36" t="s">
        <v>0</v>
      </c>
      <c r="F67" s="42">
        <v>155019</v>
      </c>
      <c r="G67" s="42">
        <v>80343</v>
      </c>
      <c r="H67" s="42">
        <v>74676</v>
      </c>
      <c r="I67" s="42">
        <v>21765</v>
      </c>
      <c r="J67" s="42">
        <v>11602</v>
      </c>
      <c r="K67" s="42">
        <v>10163</v>
      </c>
      <c r="L67" s="42">
        <v>106809</v>
      </c>
      <c r="M67" s="42">
        <v>61313</v>
      </c>
      <c r="N67" s="42">
        <v>45496</v>
      </c>
      <c r="O67" s="29">
        <f t="shared" si="0"/>
        <v>929</v>
      </c>
      <c r="P67" s="29">
        <f t="shared" si="1"/>
        <v>876</v>
      </c>
      <c r="Q67" s="30">
        <f t="shared" si="2"/>
        <v>80.150000000000006</v>
      </c>
      <c r="R67" s="30">
        <f t="shared" si="3"/>
        <v>89.19</v>
      </c>
      <c r="S67" s="30">
        <f t="shared" si="4"/>
        <v>70.52</v>
      </c>
    </row>
    <row r="68" spans="1:19" s="5" customFormat="1" ht="15.95" customHeight="1" x14ac:dyDescent="0.25">
      <c r="A68" s="24" t="s">
        <v>34</v>
      </c>
      <c r="B68" s="15" t="s">
        <v>476</v>
      </c>
      <c r="C68" s="45" t="s">
        <v>32</v>
      </c>
      <c r="D68" s="41" t="s">
        <v>491</v>
      </c>
      <c r="E68" s="27" t="s">
        <v>5</v>
      </c>
      <c r="F68" s="42">
        <v>151472</v>
      </c>
      <c r="G68" s="42">
        <v>77882</v>
      </c>
      <c r="H68" s="42">
        <v>73590</v>
      </c>
      <c r="I68" s="42">
        <v>18406</v>
      </c>
      <c r="J68" s="42">
        <v>9801</v>
      </c>
      <c r="K68" s="42">
        <v>8605</v>
      </c>
      <c r="L68" s="42">
        <v>114307</v>
      </c>
      <c r="M68" s="42">
        <v>63648</v>
      </c>
      <c r="N68" s="42">
        <v>50659</v>
      </c>
      <c r="O68" s="29">
        <f t="shared" ref="O68:O131" si="5">ROUND((H68/G68)*1000,0)</f>
        <v>945</v>
      </c>
      <c r="P68" s="29">
        <f t="shared" ref="P68:P131" si="6">ROUND((K68/J68)*1000,0)</f>
        <v>878</v>
      </c>
      <c r="Q68" s="30">
        <f t="shared" ref="Q68:Q131" si="7">ROUND(L68/(F68-I68)*100,2)</f>
        <v>85.9</v>
      </c>
      <c r="R68" s="30">
        <f t="shared" ref="R68:R131" si="8">ROUND(M68/(G68-J68)*100,2)</f>
        <v>93.49</v>
      </c>
      <c r="S68" s="30">
        <f t="shared" ref="S68:S131" si="9">ROUND(N68/(H68-K68)*100,2)</f>
        <v>77.95</v>
      </c>
    </row>
    <row r="69" spans="1:19" s="5" customFormat="1" ht="15.95" customHeight="1" x14ac:dyDescent="0.25">
      <c r="A69" s="24" t="s">
        <v>34</v>
      </c>
      <c r="B69" s="15" t="s">
        <v>476</v>
      </c>
      <c r="C69" s="48" t="s">
        <v>7</v>
      </c>
      <c r="D69" s="41" t="s">
        <v>490</v>
      </c>
      <c r="E69" s="36" t="s">
        <v>0</v>
      </c>
      <c r="F69" s="42">
        <v>151104</v>
      </c>
      <c r="G69" s="42">
        <v>79817</v>
      </c>
      <c r="H69" s="42">
        <v>71287</v>
      </c>
      <c r="I69" s="42">
        <v>17947</v>
      </c>
      <c r="J69" s="42">
        <v>9709</v>
      </c>
      <c r="K69" s="42">
        <v>8238</v>
      </c>
      <c r="L69" s="42">
        <v>104285</v>
      </c>
      <c r="M69" s="42">
        <v>59883</v>
      </c>
      <c r="N69" s="42">
        <v>44402</v>
      </c>
      <c r="O69" s="29">
        <f t="shared" si="5"/>
        <v>893</v>
      </c>
      <c r="P69" s="29">
        <f t="shared" si="6"/>
        <v>848</v>
      </c>
      <c r="Q69" s="30">
        <f t="shared" si="7"/>
        <v>78.319999999999993</v>
      </c>
      <c r="R69" s="30">
        <f t="shared" si="8"/>
        <v>85.42</v>
      </c>
      <c r="S69" s="30">
        <f t="shared" si="9"/>
        <v>70.42</v>
      </c>
    </row>
    <row r="70" spans="1:19" s="5" customFormat="1" ht="15.95" customHeight="1" x14ac:dyDescent="0.25">
      <c r="A70" s="24" t="s">
        <v>34</v>
      </c>
      <c r="B70" s="15" t="s">
        <v>476</v>
      </c>
      <c r="C70" s="45" t="s">
        <v>34</v>
      </c>
      <c r="D70" s="41" t="s">
        <v>489</v>
      </c>
      <c r="E70" s="27" t="s">
        <v>5</v>
      </c>
      <c r="F70" s="42">
        <v>133229</v>
      </c>
      <c r="G70" s="42">
        <v>71481</v>
      </c>
      <c r="H70" s="42">
        <v>61748</v>
      </c>
      <c r="I70" s="42">
        <v>18361</v>
      </c>
      <c r="J70" s="42">
        <v>10075</v>
      </c>
      <c r="K70" s="42">
        <v>8286</v>
      </c>
      <c r="L70" s="42">
        <v>88107</v>
      </c>
      <c r="M70" s="42">
        <v>51933</v>
      </c>
      <c r="N70" s="42">
        <v>36174</v>
      </c>
      <c r="O70" s="29">
        <f t="shared" si="5"/>
        <v>864</v>
      </c>
      <c r="P70" s="29">
        <f t="shared" si="6"/>
        <v>822</v>
      </c>
      <c r="Q70" s="30">
        <f t="shared" si="7"/>
        <v>76.7</v>
      </c>
      <c r="R70" s="30">
        <f t="shared" si="8"/>
        <v>84.57</v>
      </c>
      <c r="S70" s="30">
        <f t="shared" si="9"/>
        <v>67.66</v>
      </c>
    </row>
    <row r="71" spans="1:19" s="5" customFormat="1" ht="15.95" customHeight="1" x14ac:dyDescent="0.25">
      <c r="A71" s="24" t="s">
        <v>34</v>
      </c>
      <c r="B71" s="15" t="s">
        <v>476</v>
      </c>
      <c r="C71" s="45" t="s">
        <v>41</v>
      </c>
      <c r="D71" s="41" t="s">
        <v>488</v>
      </c>
      <c r="E71" s="27" t="s">
        <v>5</v>
      </c>
      <c r="F71" s="42">
        <v>130030</v>
      </c>
      <c r="G71" s="42">
        <v>68643</v>
      </c>
      <c r="H71" s="42">
        <v>61387</v>
      </c>
      <c r="I71" s="42">
        <v>17591</v>
      </c>
      <c r="J71" s="42">
        <v>9502</v>
      </c>
      <c r="K71" s="42">
        <v>8089</v>
      </c>
      <c r="L71" s="42">
        <v>89712</v>
      </c>
      <c r="M71" s="42">
        <v>53736</v>
      </c>
      <c r="N71" s="42">
        <v>35976</v>
      </c>
      <c r="O71" s="29">
        <f t="shared" si="5"/>
        <v>894</v>
      </c>
      <c r="P71" s="29">
        <f t="shared" si="6"/>
        <v>851</v>
      </c>
      <c r="Q71" s="30">
        <f t="shared" si="7"/>
        <v>79.790000000000006</v>
      </c>
      <c r="R71" s="30">
        <f t="shared" si="8"/>
        <v>90.86</v>
      </c>
      <c r="S71" s="30">
        <f t="shared" si="9"/>
        <v>67.5</v>
      </c>
    </row>
    <row r="72" spans="1:19" s="5" customFormat="1" ht="15.95" customHeight="1" x14ac:dyDescent="0.25">
      <c r="A72" s="24" t="s">
        <v>34</v>
      </c>
      <c r="B72" s="15" t="s">
        <v>476</v>
      </c>
      <c r="C72" s="45" t="s">
        <v>41</v>
      </c>
      <c r="D72" s="41" t="s">
        <v>487</v>
      </c>
      <c r="E72" s="36" t="s">
        <v>0</v>
      </c>
      <c r="F72" s="42">
        <v>120998</v>
      </c>
      <c r="G72" s="42">
        <v>63223</v>
      </c>
      <c r="H72" s="42">
        <v>57775</v>
      </c>
      <c r="I72" s="42">
        <v>15286</v>
      </c>
      <c r="J72" s="42">
        <v>8170</v>
      </c>
      <c r="K72" s="42">
        <v>7116</v>
      </c>
      <c r="L72" s="42">
        <v>85472</v>
      </c>
      <c r="M72" s="42">
        <v>50438</v>
      </c>
      <c r="N72" s="42">
        <v>35034</v>
      </c>
      <c r="O72" s="29">
        <f t="shared" si="5"/>
        <v>914</v>
      </c>
      <c r="P72" s="29">
        <f t="shared" si="6"/>
        <v>871</v>
      </c>
      <c r="Q72" s="30">
        <f t="shared" si="7"/>
        <v>80.849999999999994</v>
      </c>
      <c r="R72" s="30">
        <f t="shared" si="8"/>
        <v>91.62</v>
      </c>
      <c r="S72" s="30">
        <f t="shared" si="9"/>
        <v>69.16</v>
      </c>
    </row>
    <row r="73" spans="1:19" s="5" customFormat="1" ht="15.95" customHeight="1" x14ac:dyDescent="0.25">
      <c r="A73" s="24" t="s">
        <v>34</v>
      </c>
      <c r="B73" s="15" t="s">
        <v>476</v>
      </c>
      <c r="C73" s="45" t="s">
        <v>15</v>
      </c>
      <c r="D73" s="41" t="s">
        <v>486</v>
      </c>
      <c r="E73" s="27" t="s">
        <v>5</v>
      </c>
      <c r="F73" s="42">
        <v>120147</v>
      </c>
      <c r="G73" s="42">
        <v>61936</v>
      </c>
      <c r="H73" s="42">
        <v>58211</v>
      </c>
      <c r="I73" s="42">
        <v>16368</v>
      </c>
      <c r="J73" s="42">
        <v>8532</v>
      </c>
      <c r="K73" s="42">
        <v>7836</v>
      </c>
      <c r="L73" s="42">
        <v>77972</v>
      </c>
      <c r="M73" s="42">
        <v>46198</v>
      </c>
      <c r="N73" s="42">
        <v>31774</v>
      </c>
      <c r="O73" s="29">
        <f t="shared" si="5"/>
        <v>940</v>
      </c>
      <c r="P73" s="29">
        <f t="shared" si="6"/>
        <v>918</v>
      </c>
      <c r="Q73" s="30">
        <f t="shared" si="7"/>
        <v>75.13</v>
      </c>
      <c r="R73" s="30">
        <f t="shared" si="8"/>
        <v>86.51</v>
      </c>
      <c r="S73" s="30">
        <f t="shared" si="9"/>
        <v>63.07</v>
      </c>
    </row>
    <row r="74" spans="1:19" s="5" customFormat="1" ht="15.95" customHeight="1" x14ac:dyDescent="0.25">
      <c r="A74" s="24" t="s">
        <v>34</v>
      </c>
      <c r="B74" s="15" t="s">
        <v>476</v>
      </c>
      <c r="C74" s="45" t="s">
        <v>25</v>
      </c>
      <c r="D74" s="41" t="s">
        <v>485</v>
      </c>
      <c r="E74" s="36" t="s">
        <v>0</v>
      </c>
      <c r="F74" s="42">
        <v>118966</v>
      </c>
      <c r="G74" s="42">
        <v>61906</v>
      </c>
      <c r="H74" s="42">
        <v>57060</v>
      </c>
      <c r="I74" s="42">
        <v>16563</v>
      </c>
      <c r="J74" s="42">
        <v>8887</v>
      </c>
      <c r="K74" s="42">
        <v>7676</v>
      </c>
      <c r="L74" s="42">
        <v>76183</v>
      </c>
      <c r="M74" s="42">
        <v>44962</v>
      </c>
      <c r="N74" s="42">
        <v>31221</v>
      </c>
      <c r="O74" s="29">
        <f t="shared" si="5"/>
        <v>922</v>
      </c>
      <c r="P74" s="29">
        <f t="shared" si="6"/>
        <v>864</v>
      </c>
      <c r="Q74" s="30">
        <f t="shared" si="7"/>
        <v>74.400000000000006</v>
      </c>
      <c r="R74" s="30">
        <f t="shared" si="8"/>
        <v>84.8</v>
      </c>
      <c r="S74" s="30">
        <f t="shared" si="9"/>
        <v>63.22</v>
      </c>
    </row>
    <row r="75" spans="1:19" s="5" customFormat="1" ht="15.95" customHeight="1" x14ac:dyDescent="0.25">
      <c r="A75" s="24" t="s">
        <v>34</v>
      </c>
      <c r="B75" s="15" t="s">
        <v>476</v>
      </c>
      <c r="C75" s="45" t="s">
        <v>39</v>
      </c>
      <c r="D75" s="50" t="s">
        <v>484</v>
      </c>
      <c r="E75" s="36" t="s">
        <v>0</v>
      </c>
      <c r="F75" s="51">
        <v>118157</v>
      </c>
      <c r="G75" s="51">
        <v>61360</v>
      </c>
      <c r="H75" s="51">
        <v>56797</v>
      </c>
      <c r="I75" s="51">
        <v>14845</v>
      </c>
      <c r="J75" s="51">
        <v>7842</v>
      </c>
      <c r="K75" s="51">
        <v>7003</v>
      </c>
      <c r="L75" s="51">
        <v>83879</v>
      </c>
      <c r="M75" s="51">
        <v>48209</v>
      </c>
      <c r="N75" s="51">
        <v>35670</v>
      </c>
      <c r="O75" s="29">
        <f t="shared" si="5"/>
        <v>926</v>
      </c>
      <c r="P75" s="29">
        <f t="shared" si="6"/>
        <v>893</v>
      </c>
      <c r="Q75" s="30">
        <f t="shared" si="7"/>
        <v>81.19</v>
      </c>
      <c r="R75" s="30">
        <f t="shared" si="8"/>
        <v>90.08</v>
      </c>
      <c r="S75" s="30">
        <f t="shared" si="9"/>
        <v>71.64</v>
      </c>
    </row>
    <row r="76" spans="1:19" s="5" customFormat="1" ht="15.95" customHeight="1" x14ac:dyDescent="0.25">
      <c r="A76" s="24" t="s">
        <v>34</v>
      </c>
      <c r="B76" s="15" t="s">
        <v>476</v>
      </c>
      <c r="C76" s="45" t="s">
        <v>37</v>
      </c>
      <c r="D76" s="41" t="s">
        <v>483</v>
      </c>
      <c r="E76" s="36" t="s">
        <v>0</v>
      </c>
      <c r="F76" s="28">
        <v>116409</v>
      </c>
      <c r="G76" s="28">
        <v>60229</v>
      </c>
      <c r="H76" s="28">
        <v>56180</v>
      </c>
      <c r="I76" s="28">
        <v>14067</v>
      </c>
      <c r="J76" s="28">
        <v>7473</v>
      </c>
      <c r="K76" s="28">
        <v>6594</v>
      </c>
      <c r="L76" s="28">
        <v>86945</v>
      </c>
      <c r="M76" s="28">
        <v>48624</v>
      </c>
      <c r="N76" s="28">
        <v>38321</v>
      </c>
      <c r="O76" s="29">
        <f t="shared" si="5"/>
        <v>933</v>
      </c>
      <c r="P76" s="29">
        <f t="shared" si="6"/>
        <v>882</v>
      </c>
      <c r="Q76" s="30">
        <f t="shared" si="7"/>
        <v>84.96</v>
      </c>
      <c r="R76" s="30">
        <f t="shared" si="8"/>
        <v>92.17</v>
      </c>
      <c r="S76" s="30">
        <f t="shared" si="9"/>
        <v>77.28</v>
      </c>
    </row>
    <row r="77" spans="1:19" s="5" customFormat="1" ht="15.95" customHeight="1" x14ac:dyDescent="0.25">
      <c r="A77" s="24" t="s">
        <v>34</v>
      </c>
      <c r="B77" s="15" t="s">
        <v>476</v>
      </c>
      <c r="C77" s="45" t="s">
        <v>101</v>
      </c>
      <c r="D77" s="52" t="s">
        <v>482</v>
      </c>
      <c r="E77" s="27" t="s">
        <v>5</v>
      </c>
      <c r="F77" s="53">
        <v>116245</v>
      </c>
      <c r="G77" s="53">
        <v>60080</v>
      </c>
      <c r="H77" s="53">
        <v>56165</v>
      </c>
      <c r="I77" s="53">
        <v>19504</v>
      </c>
      <c r="J77" s="53">
        <v>10230</v>
      </c>
      <c r="K77" s="53">
        <v>9274</v>
      </c>
      <c r="L77" s="53">
        <v>63437</v>
      </c>
      <c r="M77" s="53">
        <v>38039</v>
      </c>
      <c r="N77" s="53">
        <v>25398</v>
      </c>
      <c r="O77" s="29">
        <f t="shared" si="5"/>
        <v>935</v>
      </c>
      <c r="P77" s="29">
        <f t="shared" si="6"/>
        <v>907</v>
      </c>
      <c r="Q77" s="30">
        <f t="shared" si="7"/>
        <v>65.569999999999993</v>
      </c>
      <c r="R77" s="30">
        <f t="shared" si="8"/>
        <v>76.31</v>
      </c>
      <c r="S77" s="30">
        <f t="shared" si="9"/>
        <v>54.16</v>
      </c>
    </row>
    <row r="78" spans="1:19" s="5" customFormat="1" ht="15.95" customHeight="1" x14ac:dyDescent="0.25">
      <c r="A78" s="24" t="s">
        <v>34</v>
      </c>
      <c r="B78" s="15" t="s">
        <v>476</v>
      </c>
      <c r="C78" s="45" t="s">
        <v>101</v>
      </c>
      <c r="D78" s="41" t="s">
        <v>481</v>
      </c>
      <c r="E78" s="27" t="s">
        <v>5</v>
      </c>
      <c r="F78" s="54">
        <v>108540</v>
      </c>
      <c r="G78" s="54">
        <v>56310</v>
      </c>
      <c r="H78" s="54">
        <v>52230</v>
      </c>
      <c r="I78" s="54">
        <v>14022</v>
      </c>
      <c r="J78" s="54">
        <v>7461</v>
      </c>
      <c r="K78" s="54">
        <v>6561</v>
      </c>
      <c r="L78" s="54">
        <v>69065</v>
      </c>
      <c r="M78" s="54">
        <v>40261</v>
      </c>
      <c r="N78" s="54">
        <v>28804</v>
      </c>
      <c r="O78" s="29">
        <f t="shared" si="5"/>
        <v>928</v>
      </c>
      <c r="P78" s="29">
        <f t="shared" si="6"/>
        <v>879</v>
      </c>
      <c r="Q78" s="30">
        <f t="shared" si="7"/>
        <v>73.069999999999993</v>
      </c>
      <c r="R78" s="30">
        <f t="shared" si="8"/>
        <v>82.42</v>
      </c>
      <c r="S78" s="30">
        <f t="shared" si="9"/>
        <v>63.07</v>
      </c>
    </row>
    <row r="79" spans="1:19" s="5" customFormat="1" ht="15.95" customHeight="1" x14ac:dyDescent="0.25">
      <c r="A79" s="24" t="s">
        <v>34</v>
      </c>
      <c r="B79" s="15" t="s">
        <v>476</v>
      </c>
      <c r="C79" s="55" t="s">
        <v>55</v>
      </c>
      <c r="D79" s="26" t="s">
        <v>480</v>
      </c>
      <c r="E79" s="36" t="s">
        <v>0</v>
      </c>
      <c r="F79" s="28">
        <v>105690</v>
      </c>
      <c r="G79" s="28">
        <v>56178</v>
      </c>
      <c r="H79" s="28">
        <v>49512</v>
      </c>
      <c r="I79" s="28">
        <v>15451</v>
      </c>
      <c r="J79" s="28">
        <v>8345</v>
      </c>
      <c r="K79" s="28">
        <v>7106</v>
      </c>
      <c r="L79" s="28">
        <v>69108</v>
      </c>
      <c r="M79" s="28">
        <v>41993</v>
      </c>
      <c r="N79" s="28">
        <v>27115</v>
      </c>
      <c r="O79" s="29">
        <f t="shared" si="5"/>
        <v>881</v>
      </c>
      <c r="P79" s="29">
        <f t="shared" si="6"/>
        <v>852</v>
      </c>
      <c r="Q79" s="30">
        <f t="shared" si="7"/>
        <v>76.58</v>
      </c>
      <c r="R79" s="30">
        <f t="shared" si="8"/>
        <v>87.79</v>
      </c>
      <c r="S79" s="30">
        <f t="shared" si="9"/>
        <v>63.94</v>
      </c>
    </row>
    <row r="80" spans="1:19" s="5" customFormat="1" ht="15.95" customHeight="1" x14ac:dyDescent="0.25">
      <c r="A80" s="24" t="s">
        <v>34</v>
      </c>
      <c r="B80" s="15" t="s">
        <v>476</v>
      </c>
      <c r="C80" s="45" t="s">
        <v>74</v>
      </c>
      <c r="D80" s="41" t="s">
        <v>479</v>
      </c>
      <c r="E80" s="36" t="s">
        <v>0</v>
      </c>
      <c r="F80" s="42">
        <v>104883</v>
      </c>
      <c r="G80" s="42">
        <v>59757</v>
      </c>
      <c r="H80" s="42">
        <v>45126</v>
      </c>
      <c r="I80" s="42">
        <v>16884</v>
      </c>
      <c r="J80" s="42">
        <v>9080</v>
      </c>
      <c r="K80" s="42">
        <v>7804</v>
      </c>
      <c r="L80" s="42">
        <v>70987</v>
      </c>
      <c r="M80" s="42">
        <v>44697</v>
      </c>
      <c r="N80" s="42">
        <v>26290</v>
      </c>
      <c r="O80" s="29">
        <f t="shared" si="5"/>
        <v>755</v>
      </c>
      <c r="P80" s="29">
        <f t="shared" si="6"/>
        <v>859</v>
      </c>
      <c r="Q80" s="30">
        <f t="shared" si="7"/>
        <v>80.67</v>
      </c>
      <c r="R80" s="30">
        <f t="shared" si="8"/>
        <v>88.2</v>
      </c>
      <c r="S80" s="30">
        <f t="shared" si="9"/>
        <v>70.44</v>
      </c>
    </row>
    <row r="81" spans="1:19" s="5" customFormat="1" ht="15.95" customHeight="1" x14ac:dyDescent="0.25">
      <c r="A81" s="24" t="s">
        <v>34</v>
      </c>
      <c r="B81" s="15" t="s">
        <v>476</v>
      </c>
      <c r="C81" s="45" t="s">
        <v>121</v>
      </c>
      <c r="D81" s="41" t="s">
        <v>478</v>
      </c>
      <c r="E81" s="27" t="s">
        <v>5</v>
      </c>
      <c r="F81" s="42">
        <v>104457</v>
      </c>
      <c r="G81" s="42">
        <v>54155</v>
      </c>
      <c r="H81" s="42">
        <v>50302</v>
      </c>
      <c r="I81" s="42">
        <v>12320</v>
      </c>
      <c r="J81" s="42">
        <v>6558</v>
      </c>
      <c r="K81" s="42">
        <v>5762</v>
      </c>
      <c r="L81" s="42">
        <v>75778</v>
      </c>
      <c r="M81" s="42">
        <v>42838</v>
      </c>
      <c r="N81" s="42">
        <v>32940</v>
      </c>
      <c r="O81" s="29">
        <f t="shared" si="5"/>
        <v>929</v>
      </c>
      <c r="P81" s="29">
        <f t="shared" si="6"/>
        <v>879</v>
      </c>
      <c r="Q81" s="30">
        <f t="shared" si="7"/>
        <v>82.24</v>
      </c>
      <c r="R81" s="30">
        <f t="shared" si="8"/>
        <v>90</v>
      </c>
      <c r="S81" s="30">
        <f t="shared" si="9"/>
        <v>73.959999999999994</v>
      </c>
    </row>
    <row r="82" spans="1:19" s="5" customFormat="1" ht="15.95" customHeight="1" x14ac:dyDescent="0.25">
      <c r="A82" s="24" t="s">
        <v>34</v>
      </c>
      <c r="B82" s="15" t="s">
        <v>476</v>
      </c>
      <c r="C82" s="45" t="s">
        <v>15</v>
      </c>
      <c r="D82" s="41" t="s">
        <v>477</v>
      </c>
      <c r="E82" s="36" t="s">
        <v>0</v>
      </c>
      <c r="F82" s="42">
        <v>101528</v>
      </c>
      <c r="G82" s="42">
        <v>52078</v>
      </c>
      <c r="H82" s="42">
        <v>49450</v>
      </c>
      <c r="I82" s="42">
        <v>14723</v>
      </c>
      <c r="J82" s="42">
        <v>7775</v>
      </c>
      <c r="K82" s="42">
        <v>6948</v>
      </c>
      <c r="L82" s="42">
        <v>64716</v>
      </c>
      <c r="M82" s="42">
        <v>37914</v>
      </c>
      <c r="N82" s="42">
        <v>26802</v>
      </c>
      <c r="O82" s="29">
        <f t="shared" si="5"/>
        <v>950</v>
      </c>
      <c r="P82" s="29">
        <f t="shared" si="6"/>
        <v>894</v>
      </c>
      <c r="Q82" s="30">
        <f t="shared" si="7"/>
        <v>74.55</v>
      </c>
      <c r="R82" s="30">
        <f t="shared" si="8"/>
        <v>85.58</v>
      </c>
      <c r="S82" s="30">
        <f t="shared" si="9"/>
        <v>63.06</v>
      </c>
    </row>
    <row r="83" spans="1:19" s="5" customFormat="1" ht="15.95" customHeight="1" x14ac:dyDescent="0.25">
      <c r="A83" s="24" t="s">
        <v>34</v>
      </c>
      <c r="B83" s="15" t="s">
        <v>476</v>
      </c>
      <c r="C83" s="45" t="s">
        <v>53</v>
      </c>
      <c r="D83" s="41" t="s">
        <v>475</v>
      </c>
      <c r="E83" s="27" t="s">
        <v>5</v>
      </c>
      <c r="F83" s="42">
        <v>101177</v>
      </c>
      <c r="G83" s="42">
        <v>51941</v>
      </c>
      <c r="H83" s="42">
        <v>49236</v>
      </c>
      <c r="I83" s="42">
        <v>12337</v>
      </c>
      <c r="J83" s="42">
        <v>6645</v>
      </c>
      <c r="K83" s="42">
        <v>5692</v>
      </c>
      <c r="L83" s="42">
        <v>77311</v>
      </c>
      <c r="M83" s="42">
        <v>42036</v>
      </c>
      <c r="N83" s="42">
        <v>35275</v>
      </c>
      <c r="O83" s="29">
        <f t="shared" si="5"/>
        <v>948</v>
      </c>
      <c r="P83" s="29">
        <f t="shared" si="6"/>
        <v>857</v>
      </c>
      <c r="Q83" s="30">
        <f t="shared" si="7"/>
        <v>87.02</v>
      </c>
      <c r="R83" s="30">
        <f t="shared" si="8"/>
        <v>92.8</v>
      </c>
      <c r="S83" s="30">
        <f t="shared" si="9"/>
        <v>81.010000000000005</v>
      </c>
    </row>
    <row r="84" spans="1:19" s="5" customFormat="1" ht="15.95" customHeight="1" x14ac:dyDescent="0.25">
      <c r="A84" s="24" t="s">
        <v>55</v>
      </c>
      <c r="B84" s="15" t="s">
        <v>393</v>
      </c>
      <c r="C84" s="56" t="s">
        <v>13</v>
      </c>
      <c r="D84" s="57" t="s">
        <v>474</v>
      </c>
      <c r="E84" s="27" t="s">
        <v>5</v>
      </c>
      <c r="F84" s="58">
        <v>2920067</v>
      </c>
      <c r="G84" s="58">
        <v>1584967</v>
      </c>
      <c r="H84" s="58">
        <v>1335100</v>
      </c>
      <c r="I84" s="58">
        <v>266336</v>
      </c>
      <c r="J84" s="58">
        <v>143523</v>
      </c>
      <c r="K84" s="58">
        <v>122813</v>
      </c>
      <c r="L84" s="58">
        <v>2228473</v>
      </c>
      <c r="M84" s="58">
        <v>1235685</v>
      </c>
      <c r="N84" s="58">
        <v>992788</v>
      </c>
      <c r="O84" s="29">
        <f t="shared" si="5"/>
        <v>842</v>
      </c>
      <c r="P84" s="29">
        <f t="shared" si="6"/>
        <v>856</v>
      </c>
      <c r="Q84" s="30">
        <f t="shared" si="7"/>
        <v>83.98</v>
      </c>
      <c r="R84" s="30">
        <f t="shared" si="8"/>
        <v>85.73</v>
      </c>
      <c r="S84" s="30">
        <f t="shared" si="9"/>
        <v>81.89</v>
      </c>
    </row>
    <row r="85" spans="1:19" s="5" customFormat="1" ht="15.95" customHeight="1" x14ac:dyDescent="0.25">
      <c r="A85" s="24" t="s">
        <v>55</v>
      </c>
      <c r="B85" s="15" t="s">
        <v>393</v>
      </c>
      <c r="C85" s="56" t="s">
        <v>50</v>
      </c>
      <c r="D85" s="57" t="s">
        <v>473</v>
      </c>
      <c r="E85" s="27" t="s">
        <v>5</v>
      </c>
      <c r="F85" s="58">
        <v>2901474</v>
      </c>
      <c r="G85" s="58">
        <v>1518951</v>
      </c>
      <c r="H85" s="58">
        <v>1382523</v>
      </c>
      <c r="I85" s="58">
        <v>289375</v>
      </c>
      <c r="J85" s="58">
        <v>152225</v>
      </c>
      <c r="K85" s="58">
        <v>137150</v>
      </c>
      <c r="L85" s="58">
        <v>2212850</v>
      </c>
      <c r="M85" s="58">
        <v>1200843</v>
      </c>
      <c r="N85" s="58">
        <v>1012007</v>
      </c>
      <c r="O85" s="29">
        <f t="shared" si="5"/>
        <v>910</v>
      </c>
      <c r="P85" s="29">
        <f t="shared" si="6"/>
        <v>901</v>
      </c>
      <c r="Q85" s="30">
        <f t="shared" si="7"/>
        <v>84.72</v>
      </c>
      <c r="R85" s="30">
        <f t="shared" si="8"/>
        <v>87.86</v>
      </c>
      <c r="S85" s="30">
        <f t="shared" si="9"/>
        <v>81.260000000000005</v>
      </c>
    </row>
    <row r="86" spans="1:19" s="5" customFormat="1" ht="15.95" customHeight="1" x14ac:dyDescent="0.25">
      <c r="A86" s="24" t="s">
        <v>55</v>
      </c>
      <c r="B86" s="15" t="s">
        <v>393</v>
      </c>
      <c r="C86" s="56" t="s">
        <v>55</v>
      </c>
      <c r="D86" s="57" t="s">
        <v>472</v>
      </c>
      <c r="E86" s="27" t="s">
        <v>5</v>
      </c>
      <c r="F86" s="58">
        <v>2358525</v>
      </c>
      <c r="G86" s="58">
        <v>1256783</v>
      </c>
      <c r="H86" s="58">
        <v>1101742</v>
      </c>
      <c r="I86" s="58">
        <v>308717</v>
      </c>
      <c r="J86" s="58">
        <v>167038</v>
      </c>
      <c r="K86" s="58">
        <v>141679</v>
      </c>
      <c r="L86" s="58">
        <v>1922992</v>
      </c>
      <c r="M86" s="58">
        <v>992243</v>
      </c>
      <c r="N86" s="58">
        <v>930749</v>
      </c>
      <c r="O86" s="29">
        <f t="shared" si="5"/>
        <v>877</v>
      </c>
      <c r="P86" s="29">
        <f t="shared" si="6"/>
        <v>848</v>
      </c>
      <c r="Q86" s="30">
        <f t="shared" si="7"/>
        <v>93.81</v>
      </c>
      <c r="R86" s="30">
        <f t="shared" si="8"/>
        <v>91.05</v>
      </c>
      <c r="S86" s="30">
        <f t="shared" si="9"/>
        <v>96.95</v>
      </c>
    </row>
    <row r="87" spans="1:19" s="5" customFormat="1" ht="15.95" customHeight="1" x14ac:dyDescent="0.25">
      <c r="A87" s="24" t="s">
        <v>55</v>
      </c>
      <c r="B87" s="15" t="s">
        <v>393</v>
      </c>
      <c r="C87" s="56" t="s">
        <v>103</v>
      </c>
      <c r="D87" s="57" t="s">
        <v>471</v>
      </c>
      <c r="E87" s="27" t="s">
        <v>5</v>
      </c>
      <c r="F87" s="58">
        <v>1746467</v>
      </c>
      <c r="G87" s="58">
        <v>942441</v>
      </c>
      <c r="H87" s="58">
        <v>804026</v>
      </c>
      <c r="I87" s="58">
        <v>210036</v>
      </c>
      <c r="J87" s="58">
        <v>117986</v>
      </c>
      <c r="K87" s="58">
        <v>92050</v>
      </c>
      <c r="L87" s="58">
        <v>992644</v>
      </c>
      <c r="M87" s="58">
        <v>570593</v>
      </c>
      <c r="N87" s="58">
        <v>422051</v>
      </c>
      <c r="O87" s="29">
        <f t="shared" si="5"/>
        <v>853</v>
      </c>
      <c r="P87" s="29">
        <f t="shared" si="6"/>
        <v>780</v>
      </c>
      <c r="Q87" s="30">
        <f t="shared" si="7"/>
        <v>64.61</v>
      </c>
      <c r="R87" s="30">
        <f t="shared" si="8"/>
        <v>69.209999999999994</v>
      </c>
      <c r="S87" s="30">
        <f t="shared" si="9"/>
        <v>59.28</v>
      </c>
    </row>
    <row r="88" spans="1:19" s="5" customFormat="1" ht="15.95" customHeight="1" x14ac:dyDescent="0.25">
      <c r="A88" s="24" t="s">
        <v>55</v>
      </c>
      <c r="B88" s="15" t="s">
        <v>393</v>
      </c>
      <c r="C88" s="56" t="s">
        <v>470</v>
      </c>
      <c r="D88" s="57" t="s">
        <v>469</v>
      </c>
      <c r="E88" s="27" t="s">
        <v>5</v>
      </c>
      <c r="F88" s="58">
        <v>1435113</v>
      </c>
      <c r="G88" s="58">
        <v>761060</v>
      </c>
      <c r="H88" s="58">
        <v>674053</v>
      </c>
      <c r="I88" s="58">
        <v>157482</v>
      </c>
      <c r="J88" s="58">
        <v>83895</v>
      </c>
      <c r="K88" s="58">
        <v>73587</v>
      </c>
      <c r="L88" s="58">
        <v>1026032</v>
      </c>
      <c r="M88" s="58">
        <v>573353</v>
      </c>
      <c r="N88" s="58">
        <v>452679</v>
      </c>
      <c r="O88" s="29">
        <f t="shared" si="5"/>
        <v>886</v>
      </c>
      <c r="P88" s="29">
        <f t="shared" si="6"/>
        <v>877</v>
      </c>
      <c r="Q88" s="30">
        <f t="shared" si="7"/>
        <v>80.31</v>
      </c>
      <c r="R88" s="30">
        <f t="shared" si="8"/>
        <v>84.67</v>
      </c>
      <c r="S88" s="30">
        <f t="shared" si="9"/>
        <v>75.39</v>
      </c>
    </row>
    <row r="89" spans="1:19" s="5" customFormat="1" ht="15.95" customHeight="1" x14ac:dyDescent="0.25">
      <c r="A89" s="24" t="s">
        <v>55</v>
      </c>
      <c r="B89" s="15" t="s">
        <v>393</v>
      </c>
      <c r="C89" s="56" t="s">
        <v>57</v>
      </c>
      <c r="D89" s="57" t="s">
        <v>468</v>
      </c>
      <c r="E89" s="27" t="s">
        <v>5</v>
      </c>
      <c r="F89" s="58">
        <v>1424908</v>
      </c>
      <c r="G89" s="58">
        <v>754857</v>
      </c>
      <c r="H89" s="58">
        <v>670051</v>
      </c>
      <c r="I89" s="58">
        <v>176770</v>
      </c>
      <c r="J89" s="58">
        <v>95685</v>
      </c>
      <c r="K89" s="58">
        <v>81085</v>
      </c>
      <c r="L89" s="58">
        <v>977188</v>
      </c>
      <c r="M89" s="58">
        <v>552000</v>
      </c>
      <c r="N89" s="58">
        <v>425188</v>
      </c>
      <c r="O89" s="29">
        <f t="shared" si="5"/>
        <v>888</v>
      </c>
      <c r="P89" s="29">
        <f t="shared" si="6"/>
        <v>847</v>
      </c>
      <c r="Q89" s="30">
        <f t="shared" si="7"/>
        <v>78.290000000000006</v>
      </c>
      <c r="R89" s="30">
        <f t="shared" si="8"/>
        <v>83.74</v>
      </c>
      <c r="S89" s="30">
        <f t="shared" si="9"/>
        <v>72.19</v>
      </c>
    </row>
    <row r="90" spans="1:19" s="5" customFormat="1" ht="15.95" customHeight="1" x14ac:dyDescent="0.25">
      <c r="A90" s="24" t="s">
        <v>55</v>
      </c>
      <c r="B90" s="15" t="s">
        <v>393</v>
      </c>
      <c r="C90" s="56" t="s">
        <v>467</v>
      </c>
      <c r="D90" s="57" t="s">
        <v>466</v>
      </c>
      <c r="E90" s="27" t="s">
        <v>5</v>
      </c>
      <c r="F90" s="58">
        <v>1216719</v>
      </c>
      <c r="G90" s="58">
        <v>655734</v>
      </c>
      <c r="H90" s="58">
        <v>560985</v>
      </c>
      <c r="I90" s="58">
        <v>112023</v>
      </c>
      <c r="J90" s="58">
        <v>59807</v>
      </c>
      <c r="K90" s="58">
        <v>52216</v>
      </c>
      <c r="L90" s="58">
        <v>950676</v>
      </c>
      <c r="M90" s="58">
        <v>535385</v>
      </c>
      <c r="N90" s="58">
        <v>415291</v>
      </c>
      <c r="O90" s="29">
        <f t="shared" si="5"/>
        <v>856</v>
      </c>
      <c r="P90" s="29">
        <f t="shared" si="6"/>
        <v>873</v>
      </c>
      <c r="Q90" s="30">
        <f t="shared" si="7"/>
        <v>86.06</v>
      </c>
      <c r="R90" s="30">
        <f t="shared" si="8"/>
        <v>89.84</v>
      </c>
      <c r="S90" s="30">
        <f t="shared" si="9"/>
        <v>81.63</v>
      </c>
    </row>
    <row r="91" spans="1:19" s="5" customFormat="1" ht="15.95" customHeight="1" x14ac:dyDescent="0.25">
      <c r="A91" s="24" t="s">
        <v>55</v>
      </c>
      <c r="B91" s="15" t="s">
        <v>393</v>
      </c>
      <c r="C91" s="56" t="s">
        <v>27</v>
      </c>
      <c r="D91" s="57" t="s">
        <v>465</v>
      </c>
      <c r="E91" s="27" t="s">
        <v>5</v>
      </c>
      <c r="F91" s="58">
        <v>979933</v>
      </c>
      <c r="G91" s="58">
        <v>522385</v>
      </c>
      <c r="H91" s="58">
        <v>457548</v>
      </c>
      <c r="I91" s="58">
        <v>104560</v>
      </c>
      <c r="J91" s="58">
        <v>55307</v>
      </c>
      <c r="K91" s="58">
        <v>49253</v>
      </c>
      <c r="L91" s="58">
        <v>621228</v>
      </c>
      <c r="M91" s="58">
        <v>350726</v>
      </c>
      <c r="N91" s="58">
        <v>270502</v>
      </c>
      <c r="O91" s="29">
        <f t="shared" si="5"/>
        <v>876</v>
      </c>
      <c r="P91" s="29">
        <f t="shared" si="6"/>
        <v>891</v>
      </c>
      <c r="Q91" s="30">
        <f t="shared" si="7"/>
        <v>70.97</v>
      </c>
      <c r="R91" s="30">
        <f t="shared" si="8"/>
        <v>75.09</v>
      </c>
      <c r="S91" s="30">
        <f t="shared" si="9"/>
        <v>66.25</v>
      </c>
    </row>
    <row r="92" spans="1:19" s="5" customFormat="1" ht="15.95" customHeight="1" x14ac:dyDescent="0.25">
      <c r="A92" s="24" t="s">
        <v>55</v>
      </c>
      <c r="B92" s="15" t="s">
        <v>393</v>
      </c>
      <c r="C92" s="56" t="s">
        <v>43</v>
      </c>
      <c r="D92" s="57" t="s">
        <v>464</v>
      </c>
      <c r="E92" s="27" t="s">
        <v>5</v>
      </c>
      <c r="F92" s="58">
        <v>909559</v>
      </c>
      <c r="G92" s="58">
        <v>482828</v>
      </c>
      <c r="H92" s="58">
        <v>426731</v>
      </c>
      <c r="I92" s="58">
        <v>118778</v>
      </c>
      <c r="J92" s="58">
        <v>63420</v>
      </c>
      <c r="K92" s="58">
        <v>55358</v>
      </c>
      <c r="L92" s="58">
        <v>557833</v>
      </c>
      <c r="M92" s="58">
        <v>317990</v>
      </c>
      <c r="N92" s="58">
        <v>239843</v>
      </c>
      <c r="O92" s="29">
        <f t="shared" si="5"/>
        <v>884</v>
      </c>
      <c r="P92" s="29">
        <f t="shared" si="6"/>
        <v>873</v>
      </c>
      <c r="Q92" s="30">
        <f t="shared" si="7"/>
        <v>70.540000000000006</v>
      </c>
      <c r="R92" s="30">
        <f t="shared" si="8"/>
        <v>75.819999999999993</v>
      </c>
      <c r="S92" s="30">
        <f t="shared" si="9"/>
        <v>64.58</v>
      </c>
    </row>
    <row r="93" spans="1:19" s="5" customFormat="1" ht="15.95" customHeight="1" x14ac:dyDescent="0.25">
      <c r="A93" s="24" t="s">
        <v>55</v>
      </c>
      <c r="B93" s="15" t="s">
        <v>393</v>
      </c>
      <c r="C93" s="56" t="s">
        <v>15</v>
      </c>
      <c r="D93" s="57" t="s">
        <v>463</v>
      </c>
      <c r="E93" s="36" t="s">
        <v>0</v>
      </c>
      <c r="F93" s="58">
        <v>889810</v>
      </c>
      <c r="G93" s="58">
        <v>466432</v>
      </c>
      <c r="H93" s="58">
        <v>423378</v>
      </c>
      <c r="I93" s="58">
        <v>110376</v>
      </c>
      <c r="J93" s="58">
        <v>57999</v>
      </c>
      <c r="K93" s="58">
        <v>52377</v>
      </c>
      <c r="L93" s="58">
        <v>550637</v>
      </c>
      <c r="M93" s="58">
        <v>302447</v>
      </c>
      <c r="N93" s="58">
        <v>248190</v>
      </c>
      <c r="O93" s="29">
        <f t="shared" si="5"/>
        <v>908</v>
      </c>
      <c r="P93" s="29">
        <f t="shared" si="6"/>
        <v>903</v>
      </c>
      <c r="Q93" s="30">
        <f t="shared" si="7"/>
        <v>70.650000000000006</v>
      </c>
      <c r="R93" s="30">
        <f t="shared" si="8"/>
        <v>74.05</v>
      </c>
      <c r="S93" s="30">
        <f t="shared" si="9"/>
        <v>66.900000000000006</v>
      </c>
    </row>
    <row r="94" spans="1:19" s="5" customFormat="1" ht="15.95" customHeight="1" x14ac:dyDescent="0.25">
      <c r="A94" s="24" t="s">
        <v>55</v>
      </c>
      <c r="B94" s="15" t="s">
        <v>393</v>
      </c>
      <c r="C94" s="56" t="s">
        <v>71</v>
      </c>
      <c r="D94" s="57" t="s">
        <v>462</v>
      </c>
      <c r="E94" s="36" t="s">
        <v>0</v>
      </c>
      <c r="F94" s="58">
        <v>703345</v>
      </c>
      <c r="G94" s="58">
        <v>371858</v>
      </c>
      <c r="H94" s="58">
        <v>331487</v>
      </c>
      <c r="I94" s="58">
        <v>88501</v>
      </c>
      <c r="J94" s="58">
        <v>47024</v>
      </c>
      <c r="K94" s="58">
        <v>41477</v>
      </c>
      <c r="L94" s="58">
        <v>479218</v>
      </c>
      <c r="M94" s="58">
        <v>265417</v>
      </c>
      <c r="N94" s="58">
        <v>213801</v>
      </c>
      <c r="O94" s="29">
        <f t="shared" si="5"/>
        <v>891</v>
      </c>
      <c r="P94" s="29">
        <f t="shared" si="6"/>
        <v>882</v>
      </c>
      <c r="Q94" s="30">
        <f t="shared" si="7"/>
        <v>77.94</v>
      </c>
      <c r="R94" s="30">
        <f t="shared" si="8"/>
        <v>81.709999999999994</v>
      </c>
      <c r="S94" s="30">
        <f t="shared" si="9"/>
        <v>73.72</v>
      </c>
    </row>
    <row r="95" spans="1:19" s="5" customFormat="1" ht="15.95" customHeight="1" x14ac:dyDescent="0.25">
      <c r="A95" s="24" t="s">
        <v>55</v>
      </c>
      <c r="B95" s="15" t="s">
        <v>393</v>
      </c>
      <c r="C95" s="56" t="s">
        <v>461</v>
      </c>
      <c r="D95" s="57" t="s">
        <v>460</v>
      </c>
      <c r="E95" s="27" t="s">
        <v>5</v>
      </c>
      <c r="F95" s="58">
        <v>692519</v>
      </c>
      <c r="G95" s="58">
        <v>365148</v>
      </c>
      <c r="H95" s="58">
        <v>327371</v>
      </c>
      <c r="I95" s="58">
        <v>65078</v>
      </c>
      <c r="J95" s="58">
        <v>34478</v>
      </c>
      <c r="K95" s="58">
        <v>30600</v>
      </c>
      <c r="L95" s="58">
        <v>537356</v>
      </c>
      <c r="M95" s="58">
        <v>299268</v>
      </c>
      <c r="N95" s="58">
        <v>238088</v>
      </c>
      <c r="O95" s="29">
        <f t="shared" si="5"/>
        <v>897</v>
      </c>
      <c r="P95" s="29">
        <f t="shared" si="6"/>
        <v>888</v>
      </c>
      <c r="Q95" s="30">
        <f t="shared" si="7"/>
        <v>85.64</v>
      </c>
      <c r="R95" s="30">
        <f t="shared" si="8"/>
        <v>90.5</v>
      </c>
      <c r="S95" s="30">
        <f t="shared" si="9"/>
        <v>80.23</v>
      </c>
    </row>
    <row r="96" spans="1:19" s="5" customFormat="1" ht="15.95" customHeight="1" x14ac:dyDescent="0.25">
      <c r="A96" s="24" t="s">
        <v>55</v>
      </c>
      <c r="B96" s="15" t="s">
        <v>393</v>
      </c>
      <c r="C96" s="56" t="s">
        <v>41</v>
      </c>
      <c r="D96" s="57" t="s">
        <v>459</v>
      </c>
      <c r="E96" s="36" t="s">
        <v>185</v>
      </c>
      <c r="F96" s="58">
        <v>642381</v>
      </c>
      <c r="G96" s="58">
        <v>352577</v>
      </c>
      <c r="H96" s="58">
        <v>289804</v>
      </c>
      <c r="I96" s="58">
        <v>83530</v>
      </c>
      <c r="J96" s="58">
        <v>44493</v>
      </c>
      <c r="K96" s="58">
        <v>39037</v>
      </c>
      <c r="L96" s="58">
        <v>495045</v>
      </c>
      <c r="M96" s="58">
        <v>286216</v>
      </c>
      <c r="N96" s="58">
        <v>208829</v>
      </c>
      <c r="O96" s="29">
        <f t="shared" si="5"/>
        <v>822</v>
      </c>
      <c r="P96" s="29">
        <f t="shared" si="6"/>
        <v>877</v>
      </c>
      <c r="Q96" s="30">
        <f t="shared" si="7"/>
        <v>88.58</v>
      </c>
      <c r="R96" s="30">
        <f t="shared" si="8"/>
        <v>92.9</v>
      </c>
      <c r="S96" s="30">
        <f t="shared" si="9"/>
        <v>83.28</v>
      </c>
    </row>
    <row r="97" spans="1:19" s="5" customFormat="1" ht="15.95" customHeight="1" x14ac:dyDescent="0.25">
      <c r="A97" s="24" t="s">
        <v>55</v>
      </c>
      <c r="B97" s="15" t="s">
        <v>393</v>
      </c>
      <c r="C97" s="56" t="s">
        <v>29</v>
      </c>
      <c r="D97" s="57" t="s">
        <v>458</v>
      </c>
      <c r="E97" s="36" t="s">
        <v>0</v>
      </c>
      <c r="F97" s="58">
        <v>603797</v>
      </c>
      <c r="G97" s="58">
        <v>321624</v>
      </c>
      <c r="H97" s="58">
        <v>282173</v>
      </c>
      <c r="I97" s="58">
        <v>82439</v>
      </c>
      <c r="J97" s="58">
        <v>43543</v>
      </c>
      <c r="K97" s="58">
        <v>38896</v>
      </c>
      <c r="L97" s="58">
        <v>365347</v>
      </c>
      <c r="M97" s="58">
        <v>208434</v>
      </c>
      <c r="N97" s="58">
        <v>156913</v>
      </c>
      <c r="O97" s="29">
        <f t="shared" si="5"/>
        <v>877</v>
      </c>
      <c r="P97" s="29">
        <f t="shared" si="6"/>
        <v>893</v>
      </c>
      <c r="Q97" s="30">
        <f t="shared" si="7"/>
        <v>70.08</v>
      </c>
      <c r="R97" s="30">
        <f t="shared" si="8"/>
        <v>74.95</v>
      </c>
      <c r="S97" s="30">
        <f t="shared" si="9"/>
        <v>64.5</v>
      </c>
    </row>
    <row r="98" spans="1:19" s="5" customFormat="1" ht="15.95" customHeight="1" x14ac:dyDescent="0.25">
      <c r="A98" s="24" t="s">
        <v>55</v>
      </c>
      <c r="B98" s="15" t="s">
        <v>393</v>
      </c>
      <c r="C98" s="56" t="s">
        <v>4</v>
      </c>
      <c r="D98" s="57" t="s">
        <v>457</v>
      </c>
      <c r="E98" s="27" t="s">
        <v>5</v>
      </c>
      <c r="F98" s="58">
        <v>549391</v>
      </c>
      <c r="G98" s="58">
        <v>292497</v>
      </c>
      <c r="H98" s="58">
        <v>256894</v>
      </c>
      <c r="I98" s="58">
        <v>56230</v>
      </c>
      <c r="J98" s="58">
        <v>30199</v>
      </c>
      <c r="K98" s="58">
        <v>26031</v>
      </c>
      <c r="L98" s="58">
        <v>416266</v>
      </c>
      <c r="M98" s="58">
        <v>235174</v>
      </c>
      <c r="N98" s="58">
        <v>181092</v>
      </c>
      <c r="O98" s="29">
        <f t="shared" si="5"/>
        <v>878</v>
      </c>
      <c r="P98" s="29">
        <f t="shared" si="6"/>
        <v>862</v>
      </c>
      <c r="Q98" s="30">
        <f t="shared" si="7"/>
        <v>84.41</v>
      </c>
      <c r="R98" s="30">
        <f t="shared" si="8"/>
        <v>89.66</v>
      </c>
      <c r="S98" s="30">
        <f t="shared" si="9"/>
        <v>78.44</v>
      </c>
    </row>
    <row r="99" spans="1:19" s="5" customFormat="1" ht="15.95" customHeight="1" x14ac:dyDescent="0.25">
      <c r="A99" s="24" t="s">
        <v>55</v>
      </c>
      <c r="B99" s="15" t="s">
        <v>393</v>
      </c>
      <c r="C99" s="56" t="s">
        <v>7</v>
      </c>
      <c r="D99" s="57" t="s">
        <v>456</v>
      </c>
      <c r="E99" s="27" t="s">
        <v>5</v>
      </c>
      <c r="F99" s="58">
        <v>494792</v>
      </c>
      <c r="G99" s="58">
        <v>261338</v>
      </c>
      <c r="H99" s="58">
        <v>233454</v>
      </c>
      <c r="I99" s="58">
        <v>64696</v>
      </c>
      <c r="J99" s="58">
        <v>35120</v>
      </c>
      <c r="K99" s="58">
        <v>29576</v>
      </c>
      <c r="L99" s="58">
        <v>339129</v>
      </c>
      <c r="M99" s="58">
        <v>190126</v>
      </c>
      <c r="N99" s="58">
        <v>149003</v>
      </c>
      <c r="O99" s="29">
        <f t="shared" si="5"/>
        <v>893</v>
      </c>
      <c r="P99" s="29">
        <f t="shared" si="6"/>
        <v>842</v>
      </c>
      <c r="Q99" s="30">
        <f t="shared" si="7"/>
        <v>78.849999999999994</v>
      </c>
      <c r="R99" s="30">
        <f t="shared" si="8"/>
        <v>84.05</v>
      </c>
      <c r="S99" s="30">
        <f t="shared" si="9"/>
        <v>73.08</v>
      </c>
    </row>
    <row r="100" spans="1:19" s="5" customFormat="1" ht="15.95" customHeight="1" x14ac:dyDescent="0.25">
      <c r="A100" s="24" t="s">
        <v>55</v>
      </c>
      <c r="B100" s="15" t="s">
        <v>393</v>
      </c>
      <c r="C100" s="56" t="s">
        <v>101</v>
      </c>
      <c r="D100" s="57" t="s">
        <v>455</v>
      </c>
      <c r="E100" s="27" t="s">
        <v>5</v>
      </c>
      <c r="F100" s="58">
        <v>454937</v>
      </c>
      <c r="G100" s="58">
        <v>244333</v>
      </c>
      <c r="H100" s="58">
        <v>210604</v>
      </c>
      <c r="I100" s="58">
        <v>56267</v>
      </c>
      <c r="J100" s="58">
        <v>30495</v>
      </c>
      <c r="K100" s="58">
        <v>25772</v>
      </c>
      <c r="L100" s="58">
        <v>307427</v>
      </c>
      <c r="M100" s="58">
        <v>177630</v>
      </c>
      <c r="N100" s="58">
        <v>129797</v>
      </c>
      <c r="O100" s="29">
        <f t="shared" si="5"/>
        <v>862</v>
      </c>
      <c r="P100" s="29">
        <f t="shared" si="6"/>
        <v>845</v>
      </c>
      <c r="Q100" s="30">
        <f t="shared" si="7"/>
        <v>77.11</v>
      </c>
      <c r="R100" s="30">
        <f t="shared" si="8"/>
        <v>83.07</v>
      </c>
      <c r="S100" s="30">
        <f t="shared" si="9"/>
        <v>70.22</v>
      </c>
    </row>
    <row r="101" spans="1:19" s="5" customFormat="1" ht="15.95" customHeight="1" x14ac:dyDescent="0.25">
      <c r="A101" s="24" t="s">
        <v>55</v>
      </c>
      <c r="B101" s="15" t="s">
        <v>393</v>
      </c>
      <c r="C101" s="56" t="s">
        <v>25</v>
      </c>
      <c r="D101" s="57" t="s">
        <v>454</v>
      </c>
      <c r="E101" s="27" t="s">
        <v>5</v>
      </c>
      <c r="F101" s="58">
        <v>349062</v>
      </c>
      <c r="G101" s="58">
        <v>182325</v>
      </c>
      <c r="H101" s="58">
        <v>166737</v>
      </c>
      <c r="I101" s="58">
        <v>41769</v>
      </c>
      <c r="J101" s="58">
        <v>21742</v>
      </c>
      <c r="K101" s="58">
        <v>20027</v>
      </c>
      <c r="L101" s="58">
        <v>183011</v>
      </c>
      <c r="M101" s="58">
        <v>100067</v>
      </c>
      <c r="N101" s="58">
        <v>82944</v>
      </c>
      <c r="O101" s="29">
        <f t="shared" si="5"/>
        <v>915</v>
      </c>
      <c r="P101" s="29">
        <f t="shared" si="6"/>
        <v>921</v>
      </c>
      <c r="Q101" s="30">
        <f t="shared" si="7"/>
        <v>59.56</v>
      </c>
      <c r="R101" s="30">
        <f t="shared" si="8"/>
        <v>62.31</v>
      </c>
      <c r="S101" s="30">
        <f t="shared" si="9"/>
        <v>56.54</v>
      </c>
    </row>
    <row r="102" spans="1:19" s="5" customFormat="1" ht="15.95" customHeight="1" x14ac:dyDescent="0.25">
      <c r="A102" s="24" t="s">
        <v>55</v>
      </c>
      <c r="B102" s="15" t="s">
        <v>393</v>
      </c>
      <c r="C102" s="56" t="s">
        <v>32</v>
      </c>
      <c r="D102" s="57" t="s">
        <v>453</v>
      </c>
      <c r="E102" s="27" t="s">
        <v>5</v>
      </c>
      <c r="F102" s="58">
        <v>346103</v>
      </c>
      <c r="G102" s="58">
        <v>183087</v>
      </c>
      <c r="H102" s="58">
        <v>163016</v>
      </c>
      <c r="I102" s="58">
        <v>38736</v>
      </c>
      <c r="J102" s="58">
        <v>20602</v>
      </c>
      <c r="K102" s="58">
        <v>18134</v>
      </c>
      <c r="L102" s="58">
        <v>214573</v>
      </c>
      <c r="M102" s="58">
        <v>120079</v>
      </c>
      <c r="N102" s="58">
        <v>94494</v>
      </c>
      <c r="O102" s="29">
        <f t="shared" si="5"/>
        <v>890</v>
      </c>
      <c r="P102" s="29">
        <f t="shared" si="6"/>
        <v>880</v>
      </c>
      <c r="Q102" s="30">
        <f t="shared" si="7"/>
        <v>69.81</v>
      </c>
      <c r="R102" s="30">
        <f t="shared" si="8"/>
        <v>73.900000000000006</v>
      </c>
      <c r="S102" s="30">
        <f t="shared" si="9"/>
        <v>65.22</v>
      </c>
    </row>
    <row r="103" spans="1:19" s="5" customFormat="1" ht="29.25" customHeight="1" x14ac:dyDescent="0.25">
      <c r="A103" s="24" t="s">
        <v>55</v>
      </c>
      <c r="B103" s="15" t="s">
        <v>393</v>
      </c>
      <c r="C103" s="56" t="s">
        <v>37</v>
      </c>
      <c r="D103" s="57" t="s">
        <v>452</v>
      </c>
      <c r="E103" s="27" t="s">
        <v>5</v>
      </c>
      <c r="F103" s="58">
        <v>290540</v>
      </c>
      <c r="G103" s="58">
        <v>154630</v>
      </c>
      <c r="H103" s="58">
        <v>135910</v>
      </c>
      <c r="I103" s="58">
        <v>33944</v>
      </c>
      <c r="J103" s="58">
        <v>18220</v>
      </c>
      <c r="K103" s="58">
        <v>15724</v>
      </c>
      <c r="L103" s="58">
        <v>193997</v>
      </c>
      <c r="M103" s="58">
        <v>108989</v>
      </c>
      <c r="N103" s="58">
        <v>85008</v>
      </c>
      <c r="O103" s="29">
        <f t="shared" si="5"/>
        <v>879</v>
      </c>
      <c r="P103" s="29">
        <f t="shared" si="6"/>
        <v>863</v>
      </c>
      <c r="Q103" s="30">
        <f t="shared" si="7"/>
        <v>75.599999999999994</v>
      </c>
      <c r="R103" s="30">
        <f t="shared" si="8"/>
        <v>79.900000000000006</v>
      </c>
      <c r="S103" s="30">
        <f t="shared" si="9"/>
        <v>70.73</v>
      </c>
    </row>
    <row r="104" spans="1:19" s="5" customFormat="1" ht="15.95" customHeight="1" x14ac:dyDescent="0.25">
      <c r="A104" s="24" t="s">
        <v>55</v>
      </c>
      <c r="B104" s="15" t="s">
        <v>393</v>
      </c>
      <c r="C104" s="56" t="s">
        <v>451</v>
      </c>
      <c r="D104" s="57" t="s">
        <v>450</v>
      </c>
      <c r="E104" s="36" t="s">
        <v>0</v>
      </c>
      <c r="F104" s="58">
        <v>279060</v>
      </c>
      <c r="G104" s="58">
        <v>143273</v>
      </c>
      <c r="H104" s="58">
        <v>135787</v>
      </c>
      <c r="I104" s="58">
        <v>40651</v>
      </c>
      <c r="J104" s="58">
        <v>20820</v>
      </c>
      <c r="K104" s="58">
        <v>19831</v>
      </c>
      <c r="L104" s="58">
        <v>187382</v>
      </c>
      <c r="M104" s="58">
        <v>102802</v>
      </c>
      <c r="N104" s="58">
        <v>84580</v>
      </c>
      <c r="O104" s="29">
        <f t="shared" si="5"/>
        <v>948</v>
      </c>
      <c r="P104" s="29">
        <f t="shared" si="6"/>
        <v>952</v>
      </c>
      <c r="Q104" s="30">
        <f t="shared" si="7"/>
        <v>78.599999999999994</v>
      </c>
      <c r="R104" s="30">
        <f t="shared" si="8"/>
        <v>83.95</v>
      </c>
      <c r="S104" s="30">
        <f t="shared" si="9"/>
        <v>72.94</v>
      </c>
    </row>
    <row r="105" spans="1:19" s="5" customFormat="1" ht="15.95" customHeight="1" x14ac:dyDescent="0.25">
      <c r="A105" s="24" t="s">
        <v>55</v>
      </c>
      <c r="B105" s="15" t="s">
        <v>393</v>
      </c>
      <c r="C105" s="56" t="s">
        <v>55</v>
      </c>
      <c r="D105" s="57" t="s">
        <v>449</v>
      </c>
      <c r="E105" s="36" t="s">
        <v>0</v>
      </c>
      <c r="F105" s="58">
        <v>262801</v>
      </c>
      <c r="G105" s="58">
        <v>139694</v>
      </c>
      <c r="H105" s="58">
        <v>123107</v>
      </c>
      <c r="I105" s="58">
        <v>36714</v>
      </c>
      <c r="J105" s="58">
        <v>19822</v>
      </c>
      <c r="K105" s="58">
        <v>16892</v>
      </c>
      <c r="L105" s="58">
        <v>170325</v>
      </c>
      <c r="M105" s="58">
        <v>98394</v>
      </c>
      <c r="N105" s="58">
        <v>71931</v>
      </c>
      <c r="O105" s="29">
        <f t="shared" si="5"/>
        <v>881</v>
      </c>
      <c r="P105" s="29">
        <f t="shared" si="6"/>
        <v>852</v>
      </c>
      <c r="Q105" s="30">
        <f t="shared" si="7"/>
        <v>75.34</v>
      </c>
      <c r="R105" s="30">
        <f t="shared" si="8"/>
        <v>82.08</v>
      </c>
      <c r="S105" s="30">
        <f t="shared" si="9"/>
        <v>67.72</v>
      </c>
    </row>
    <row r="106" spans="1:19" s="5" customFormat="1" ht="15.95" customHeight="1" x14ac:dyDescent="0.25">
      <c r="A106" s="24" t="s">
        <v>55</v>
      </c>
      <c r="B106" s="15" t="s">
        <v>393</v>
      </c>
      <c r="C106" s="56" t="s">
        <v>269</v>
      </c>
      <c r="D106" s="57" t="s">
        <v>448</v>
      </c>
      <c r="E106" s="27" t="s">
        <v>5</v>
      </c>
      <c r="F106" s="58">
        <v>259160</v>
      </c>
      <c r="G106" s="58">
        <v>139074</v>
      </c>
      <c r="H106" s="58">
        <v>120086</v>
      </c>
      <c r="I106" s="58">
        <v>25436</v>
      </c>
      <c r="J106" s="58">
        <v>13341</v>
      </c>
      <c r="K106" s="58">
        <v>12095</v>
      </c>
      <c r="L106" s="58">
        <v>199700</v>
      </c>
      <c r="M106" s="58">
        <v>112075</v>
      </c>
      <c r="N106" s="58">
        <v>87625</v>
      </c>
      <c r="O106" s="29">
        <f t="shared" si="5"/>
        <v>863</v>
      </c>
      <c r="P106" s="29">
        <f t="shared" si="6"/>
        <v>907</v>
      </c>
      <c r="Q106" s="30">
        <f t="shared" si="7"/>
        <v>85.44</v>
      </c>
      <c r="R106" s="30">
        <f t="shared" si="8"/>
        <v>89.14</v>
      </c>
      <c r="S106" s="30">
        <f t="shared" si="9"/>
        <v>81.14</v>
      </c>
    </row>
    <row r="107" spans="1:19" s="5" customFormat="1" ht="15.95" customHeight="1" x14ac:dyDescent="0.25">
      <c r="A107" s="24" t="s">
        <v>55</v>
      </c>
      <c r="B107" s="15" t="s">
        <v>393</v>
      </c>
      <c r="C107" s="56" t="s">
        <v>39</v>
      </c>
      <c r="D107" s="57" t="s">
        <v>447</v>
      </c>
      <c r="E107" s="36" t="s">
        <v>0</v>
      </c>
      <c r="F107" s="58">
        <v>256790</v>
      </c>
      <c r="G107" s="58">
        <v>135829</v>
      </c>
      <c r="H107" s="58">
        <v>120961</v>
      </c>
      <c r="I107" s="58">
        <v>28922</v>
      </c>
      <c r="J107" s="58">
        <v>15521</v>
      </c>
      <c r="K107" s="58">
        <v>13401</v>
      </c>
      <c r="L107" s="58">
        <v>188887</v>
      </c>
      <c r="M107" s="58">
        <v>104612</v>
      </c>
      <c r="N107" s="58">
        <v>84275</v>
      </c>
      <c r="O107" s="29">
        <f t="shared" si="5"/>
        <v>891</v>
      </c>
      <c r="P107" s="29">
        <f t="shared" si="6"/>
        <v>863</v>
      </c>
      <c r="Q107" s="30">
        <f t="shared" si="7"/>
        <v>82.89</v>
      </c>
      <c r="R107" s="30">
        <f t="shared" si="8"/>
        <v>86.95</v>
      </c>
      <c r="S107" s="30">
        <f t="shared" si="9"/>
        <v>78.349999999999994</v>
      </c>
    </row>
    <row r="108" spans="1:19" s="5" customFormat="1" ht="27.75" customHeight="1" x14ac:dyDescent="0.25">
      <c r="A108" s="24" t="s">
        <v>55</v>
      </c>
      <c r="B108" s="15" t="s">
        <v>393</v>
      </c>
      <c r="C108" s="56" t="s">
        <v>446</v>
      </c>
      <c r="D108" s="57" t="s">
        <v>445</v>
      </c>
      <c r="E108" s="27" t="s">
        <v>5</v>
      </c>
      <c r="F108" s="58">
        <v>245817</v>
      </c>
      <c r="G108" s="58">
        <v>131534</v>
      </c>
      <c r="H108" s="58">
        <v>114283</v>
      </c>
      <c r="I108" s="58">
        <v>29619</v>
      </c>
      <c r="J108" s="58">
        <v>15729</v>
      </c>
      <c r="K108" s="58">
        <v>13890</v>
      </c>
      <c r="L108" s="58">
        <v>168318</v>
      </c>
      <c r="M108" s="58">
        <v>96834</v>
      </c>
      <c r="N108" s="58">
        <v>71484</v>
      </c>
      <c r="O108" s="29">
        <f t="shared" si="5"/>
        <v>869</v>
      </c>
      <c r="P108" s="29">
        <f t="shared" si="6"/>
        <v>883</v>
      </c>
      <c r="Q108" s="30">
        <f t="shared" si="7"/>
        <v>77.849999999999994</v>
      </c>
      <c r="R108" s="30">
        <f t="shared" si="8"/>
        <v>83.62</v>
      </c>
      <c r="S108" s="30">
        <f t="shared" si="9"/>
        <v>71.2</v>
      </c>
    </row>
    <row r="109" spans="1:19" s="5" customFormat="1" ht="15.95" customHeight="1" x14ac:dyDescent="0.25">
      <c r="A109" s="24" t="s">
        <v>55</v>
      </c>
      <c r="B109" s="15" t="s">
        <v>393</v>
      </c>
      <c r="C109" s="56" t="s">
        <v>48</v>
      </c>
      <c r="D109" s="57" t="s">
        <v>444</v>
      </c>
      <c r="E109" s="27" t="s">
        <v>5</v>
      </c>
      <c r="F109" s="58">
        <v>235310</v>
      </c>
      <c r="G109" s="58">
        <v>123549</v>
      </c>
      <c r="H109" s="58">
        <v>111761</v>
      </c>
      <c r="I109" s="58">
        <v>30886</v>
      </c>
      <c r="J109" s="58">
        <v>16966</v>
      </c>
      <c r="K109" s="58">
        <v>13920</v>
      </c>
      <c r="L109" s="58">
        <v>160203</v>
      </c>
      <c r="M109" s="58">
        <v>90761</v>
      </c>
      <c r="N109" s="58">
        <v>69442</v>
      </c>
      <c r="O109" s="29">
        <f t="shared" si="5"/>
        <v>905</v>
      </c>
      <c r="P109" s="29">
        <f t="shared" si="6"/>
        <v>820</v>
      </c>
      <c r="Q109" s="30">
        <f t="shared" si="7"/>
        <v>78.37</v>
      </c>
      <c r="R109" s="30">
        <f t="shared" si="8"/>
        <v>85.16</v>
      </c>
      <c r="S109" s="30">
        <f t="shared" si="9"/>
        <v>70.97</v>
      </c>
    </row>
    <row r="110" spans="1:19" s="5" customFormat="1" ht="15.95" customHeight="1" x14ac:dyDescent="0.25">
      <c r="A110" s="24" t="s">
        <v>55</v>
      </c>
      <c r="B110" s="15" t="s">
        <v>393</v>
      </c>
      <c r="C110" s="56" t="s">
        <v>15</v>
      </c>
      <c r="D110" s="57" t="s">
        <v>443</v>
      </c>
      <c r="E110" s="36" t="s">
        <v>0</v>
      </c>
      <c r="F110" s="58">
        <v>221334</v>
      </c>
      <c r="G110" s="58">
        <v>116008</v>
      </c>
      <c r="H110" s="58">
        <v>105326</v>
      </c>
      <c r="I110" s="58">
        <v>34279</v>
      </c>
      <c r="J110" s="58">
        <v>17702</v>
      </c>
      <c r="K110" s="58">
        <v>16577</v>
      </c>
      <c r="L110" s="58">
        <v>92608</v>
      </c>
      <c r="M110" s="58">
        <v>51382</v>
      </c>
      <c r="N110" s="58">
        <v>41226</v>
      </c>
      <c r="O110" s="29">
        <f t="shared" si="5"/>
        <v>908</v>
      </c>
      <c r="P110" s="29">
        <f t="shared" si="6"/>
        <v>936</v>
      </c>
      <c r="Q110" s="30">
        <f t="shared" si="7"/>
        <v>49.51</v>
      </c>
      <c r="R110" s="30">
        <f t="shared" si="8"/>
        <v>52.27</v>
      </c>
      <c r="S110" s="30">
        <f t="shared" si="9"/>
        <v>46.45</v>
      </c>
    </row>
    <row r="111" spans="1:19" s="5" customFormat="1" ht="15.95" customHeight="1" x14ac:dyDescent="0.25">
      <c r="A111" s="24" t="s">
        <v>55</v>
      </c>
      <c r="B111" s="15" t="s">
        <v>393</v>
      </c>
      <c r="C111" s="56" t="s">
        <v>74</v>
      </c>
      <c r="D111" s="57" t="s">
        <v>442</v>
      </c>
      <c r="E111" s="36" t="s">
        <v>0</v>
      </c>
      <c r="F111" s="58">
        <v>197135</v>
      </c>
      <c r="G111" s="58">
        <v>102804</v>
      </c>
      <c r="H111" s="58">
        <v>94331</v>
      </c>
      <c r="I111" s="58">
        <v>26855</v>
      </c>
      <c r="J111" s="58">
        <v>13799</v>
      </c>
      <c r="K111" s="58">
        <v>13056</v>
      </c>
      <c r="L111" s="58">
        <v>108772</v>
      </c>
      <c r="M111" s="58">
        <v>60621</v>
      </c>
      <c r="N111" s="58">
        <v>48151</v>
      </c>
      <c r="O111" s="29">
        <f t="shared" si="5"/>
        <v>918</v>
      </c>
      <c r="P111" s="29">
        <f t="shared" si="6"/>
        <v>946</v>
      </c>
      <c r="Q111" s="30">
        <f t="shared" si="7"/>
        <v>63.88</v>
      </c>
      <c r="R111" s="30">
        <f t="shared" si="8"/>
        <v>68.11</v>
      </c>
      <c r="S111" s="30">
        <f t="shared" si="9"/>
        <v>59.24</v>
      </c>
    </row>
    <row r="112" spans="1:19" s="5" customFormat="1" ht="15.95" customHeight="1" x14ac:dyDescent="0.25">
      <c r="A112" s="24" t="s">
        <v>55</v>
      </c>
      <c r="B112" s="15" t="s">
        <v>393</v>
      </c>
      <c r="C112" s="56" t="s">
        <v>21</v>
      </c>
      <c r="D112" s="57" t="s">
        <v>441</v>
      </c>
      <c r="E112" s="27" t="s">
        <v>5</v>
      </c>
      <c r="F112" s="58">
        <v>197046</v>
      </c>
      <c r="G112" s="58">
        <v>104201</v>
      </c>
      <c r="H112" s="58">
        <v>92845</v>
      </c>
      <c r="I112" s="58">
        <v>21719</v>
      </c>
      <c r="J112" s="58">
        <v>11528</v>
      </c>
      <c r="K112" s="58">
        <v>10191</v>
      </c>
      <c r="L112" s="58">
        <v>145999</v>
      </c>
      <c r="M112" s="58">
        <v>81593</v>
      </c>
      <c r="N112" s="58">
        <v>64406</v>
      </c>
      <c r="O112" s="29">
        <f t="shared" si="5"/>
        <v>891</v>
      </c>
      <c r="P112" s="29">
        <f t="shared" si="6"/>
        <v>884</v>
      </c>
      <c r="Q112" s="30">
        <f t="shared" si="7"/>
        <v>83.27</v>
      </c>
      <c r="R112" s="30">
        <f t="shared" si="8"/>
        <v>88.04</v>
      </c>
      <c r="S112" s="30">
        <f t="shared" si="9"/>
        <v>77.92</v>
      </c>
    </row>
    <row r="113" spans="1:19" s="5" customFormat="1" ht="15.95" customHeight="1" x14ac:dyDescent="0.25">
      <c r="A113" s="24" t="s">
        <v>55</v>
      </c>
      <c r="B113" s="15" t="s">
        <v>393</v>
      </c>
      <c r="C113" s="56" t="s">
        <v>259</v>
      </c>
      <c r="D113" s="57" t="s">
        <v>440</v>
      </c>
      <c r="E113" s="36" t="s">
        <v>0</v>
      </c>
      <c r="F113" s="58">
        <v>193801</v>
      </c>
      <c r="G113" s="58">
        <v>101620</v>
      </c>
      <c r="H113" s="58">
        <v>92181</v>
      </c>
      <c r="I113" s="58">
        <v>22078</v>
      </c>
      <c r="J113" s="58">
        <v>11850</v>
      </c>
      <c r="K113" s="58">
        <v>10228</v>
      </c>
      <c r="L113" s="58">
        <v>133418</v>
      </c>
      <c r="M113" s="58">
        <v>74561</v>
      </c>
      <c r="N113" s="58">
        <v>58857</v>
      </c>
      <c r="O113" s="29">
        <f t="shared" si="5"/>
        <v>907</v>
      </c>
      <c r="P113" s="29">
        <f t="shared" si="6"/>
        <v>863</v>
      </c>
      <c r="Q113" s="30">
        <f t="shared" si="7"/>
        <v>77.69</v>
      </c>
      <c r="R113" s="30">
        <f t="shared" si="8"/>
        <v>83.06</v>
      </c>
      <c r="S113" s="30">
        <f t="shared" si="9"/>
        <v>71.819999999999993</v>
      </c>
    </row>
    <row r="114" spans="1:19" s="5" customFormat="1" ht="15.95" customHeight="1" x14ac:dyDescent="0.25">
      <c r="A114" s="24" t="s">
        <v>55</v>
      </c>
      <c r="B114" s="15" t="s">
        <v>393</v>
      </c>
      <c r="C114" s="56" t="s">
        <v>53</v>
      </c>
      <c r="D114" s="57" t="s">
        <v>439</v>
      </c>
      <c r="E114" s="36" t="s">
        <v>0</v>
      </c>
      <c r="F114" s="58">
        <v>191056</v>
      </c>
      <c r="G114" s="58">
        <v>99844</v>
      </c>
      <c r="H114" s="58">
        <v>91212</v>
      </c>
      <c r="I114" s="58">
        <v>18866</v>
      </c>
      <c r="J114" s="58">
        <v>9886</v>
      </c>
      <c r="K114" s="58">
        <v>8980</v>
      </c>
      <c r="L114" s="58">
        <v>142863</v>
      </c>
      <c r="M114" s="58">
        <v>78519</v>
      </c>
      <c r="N114" s="58">
        <v>64344</v>
      </c>
      <c r="O114" s="29">
        <f t="shared" si="5"/>
        <v>914</v>
      </c>
      <c r="P114" s="29">
        <f t="shared" si="6"/>
        <v>908</v>
      </c>
      <c r="Q114" s="30">
        <f t="shared" si="7"/>
        <v>82.97</v>
      </c>
      <c r="R114" s="30">
        <f t="shared" si="8"/>
        <v>87.28</v>
      </c>
      <c r="S114" s="30">
        <f t="shared" si="9"/>
        <v>78.25</v>
      </c>
    </row>
    <row r="115" spans="1:19" s="5" customFormat="1" ht="15.95" customHeight="1" x14ac:dyDescent="0.25">
      <c r="A115" s="24" t="s">
        <v>55</v>
      </c>
      <c r="B115" s="15" t="s">
        <v>393</v>
      </c>
      <c r="C115" s="56" t="s">
        <v>9</v>
      </c>
      <c r="D115" s="57" t="s">
        <v>438</v>
      </c>
      <c r="E115" s="27" t="s">
        <v>5</v>
      </c>
      <c r="F115" s="58">
        <v>190625</v>
      </c>
      <c r="G115" s="58">
        <v>101434</v>
      </c>
      <c r="H115" s="58">
        <v>89191</v>
      </c>
      <c r="I115" s="58">
        <v>20424</v>
      </c>
      <c r="J115" s="58">
        <v>11075</v>
      </c>
      <c r="K115" s="58">
        <v>9349</v>
      </c>
      <c r="L115" s="58">
        <v>141856</v>
      </c>
      <c r="M115" s="58">
        <v>81026</v>
      </c>
      <c r="N115" s="58">
        <v>60830</v>
      </c>
      <c r="O115" s="29">
        <f t="shared" si="5"/>
        <v>879</v>
      </c>
      <c r="P115" s="29">
        <f t="shared" si="6"/>
        <v>844</v>
      </c>
      <c r="Q115" s="30">
        <f t="shared" si="7"/>
        <v>83.35</v>
      </c>
      <c r="R115" s="30">
        <f t="shared" si="8"/>
        <v>89.67</v>
      </c>
      <c r="S115" s="30">
        <f t="shared" si="9"/>
        <v>76.19</v>
      </c>
    </row>
    <row r="116" spans="1:19" s="5" customFormat="1" ht="15.95" customHeight="1" x14ac:dyDescent="0.25">
      <c r="A116" s="24" t="s">
        <v>55</v>
      </c>
      <c r="B116" s="15" t="s">
        <v>393</v>
      </c>
      <c r="C116" s="56" t="s">
        <v>121</v>
      </c>
      <c r="D116" s="57" t="s">
        <v>437</v>
      </c>
      <c r="E116" s="27" t="s">
        <v>5</v>
      </c>
      <c r="F116" s="58">
        <v>188230</v>
      </c>
      <c r="G116" s="58">
        <v>99129</v>
      </c>
      <c r="H116" s="58">
        <v>89101</v>
      </c>
      <c r="I116" s="58">
        <v>19721</v>
      </c>
      <c r="J116" s="58">
        <v>10492</v>
      </c>
      <c r="K116" s="58">
        <v>9229</v>
      </c>
      <c r="L116" s="58">
        <v>139895</v>
      </c>
      <c r="M116" s="58">
        <v>76643</v>
      </c>
      <c r="N116" s="58">
        <v>63252</v>
      </c>
      <c r="O116" s="29">
        <f t="shared" si="5"/>
        <v>899</v>
      </c>
      <c r="P116" s="29">
        <f t="shared" si="6"/>
        <v>880</v>
      </c>
      <c r="Q116" s="30">
        <f t="shared" si="7"/>
        <v>83.02</v>
      </c>
      <c r="R116" s="30">
        <f t="shared" si="8"/>
        <v>86.47</v>
      </c>
      <c r="S116" s="30">
        <f t="shared" si="9"/>
        <v>79.19</v>
      </c>
    </row>
    <row r="117" spans="1:19" s="5" customFormat="1" ht="15.95" customHeight="1" x14ac:dyDescent="0.25">
      <c r="A117" s="24" t="s">
        <v>55</v>
      </c>
      <c r="B117" s="15" t="s">
        <v>393</v>
      </c>
      <c r="C117" s="56" t="s">
        <v>265</v>
      </c>
      <c r="D117" s="57" t="s">
        <v>436</v>
      </c>
      <c r="E117" s="36" t="s">
        <v>0</v>
      </c>
      <c r="F117" s="58">
        <v>186241</v>
      </c>
      <c r="G117" s="58">
        <v>98529</v>
      </c>
      <c r="H117" s="58">
        <v>87712</v>
      </c>
      <c r="I117" s="58">
        <v>22828</v>
      </c>
      <c r="J117" s="58">
        <v>12046</v>
      </c>
      <c r="K117" s="58">
        <v>10782</v>
      </c>
      <c r="L117" s="58">
        <v>122602</v>
      </c>
      <c r="M117" s="58">
        <v>66544</v>
      </c>
      <c r="N117" s="58">
        <v>56058</v>
      </c>
      <c r="O117" s="29">
        <f t="shared" si="5"/>
        <v>890</v>
      </c>
      <c r="P117" s="29">
        <f t="shared" si="6"/>
        <v>895</v>
      </c>
      <c r="Q117" s="30">
        <f t="shared" si="7"/>
        <v>75.03</v>
      </c>
      <c r="R117" s="30">
        <f t="shared" si="8"/>
        <v>76.94</v>
      </c>
      <c r="S117" s="30">
        <f t="shared" si="9"/>
        <v>72.87</v>
      </c>
    </row>
    <row r="118" spans="1:19" s="5" customFormat="1" ht="15.95" customHeight="1" x14ac:dyDescent="0.25">
      <c r="A118" s="24" t="s">
        <v>55</v>
      </c>
      <c r="B118" s="15" t="s">
        <v>393</v>
      </c>
      <c r="C118" s="56" t="s">
        <v>55</v>
      </c>
      <c r="D118" s="57" t="s">
        <v>435</v>
      </c>
      <c r="E118" s="27" t="s">
        <v>5</v>
      </c>
      <c r="F118" s="58">
        <v>182811</v>
      </c>
      <c r="G118" s="58">
        <v>97335</v>
      </c>
      <c r="H118" s="58">
        <v>85476</v>
      </c>
      <c r="I118" s="58">
        <v>21441</v>
      </c>
      <c r="J118" s="58">
        <v>11898</v>
      </c>
      <c r="K118" s="58">
        <v>9543</v>
      </c>
      <c r="L118" s="58">
        <v>140441</v>
      </c>
      <c r="M118" s="58">
        <v>79638</v>
      </c>
      <c r="N118" s="58">
        <v>60803</v>
      </c>
      <c r="O118" s="29">
        <f t="shared" si="5"/>
        <v>878</v>
      </c>
      <c r="P118" s="29">
        <f t="shared" si="6"/>
        <v>802</v>
      </c>
      <c r="Q118" s="30">
        <f t="shared" si="7"/>
        <v>87.03</v>
      </c>
      <c r="R118" s="30">
        <f t="shared" si="8"/>
        <v>93.21</v>
      </c>
      <c r="S118" s="30">
        <f t="shared" si="9"/>
        <v>80.069999999999993</v>
      </c>
    </row>
    <row r="119" spans="1:19" s="5" customFormat="1" ht="15.95" customHeight="1" x14ac:dyDescent="0.25">
      <c r="A119" s="24" t="s">
        <v>55</v>
      </c>
      <c r="B119" s="15" t="s">
        <v>393</v>
      </c>
      <c r="C119" s="56" t="s">
        <v>116</v>
      </c>
      <c r="D119" s="57" t="s">
        <v>434</v>
      </c>
      <c r="E119" s="36" t="s">
        <v>0</v>
      </c>
      <c r="F119" s="58">
        <v>178681</v>
      </c>
      <c r="G119" s="58">
        <v>94080</v>
      </c>
      <c r="H119" s="58">
        <v>84601</v>
      </c>
      <c r="I119" s="58">
        <v>18604</v>
      </c>
      <c r="J119" s="58">
        <v>9949</v>
      </c>
      <c r="K119" s="58">
        <v>8655</v>
      </c>
      <c r="L119" s="58">
        <v>134018</v>
      </c>
      <c r="M119" s="58">
        <v>73411</v>
      </c>
      <c r="N119" s="58">
        <v>60607</v>
      </c>
      <c r="O119" s="29">
        <f t="shared" si="5"/>
        <v>899</v>
      </c>
      <c r="P119" s="29">
        <f t="shared" si="6"/>
        <v>870</v>
      </c>
      <c r="Q119" s="30">
        <f t="shared" si="7"/>
        <v>83.72</v>
      </c>
      <c r="R119" s="30">
        <f t="shared" si="8"/>
        <v>87.26</v>
      </c>
      <c r="S119" s="30">
        <f t="shared" si="9"/>
        <v>79.8</v>
      </c>
    </row>
    <row r="120" spans="1:19" s="5" customFormat="1" ht="15.95" customHeight="1" x14ac:dyDescent="0.25">
      <c r="A120" s="24" t="s">
        <v>55</v>
      </c>
      <c r="B120" s="15" t="s">
        <v>393</v>
      </c>
      <c r="C120" s="56" t="s">
        <v>433</v>
      </c>
      <c r="D120" s="57" t="s">
        <v>432</v>
      </c>
      <c r="E120" s="36" t="s">
        <v>0</v>
      </c>
      <c r="F120" s="58">
        <v>168128</v>
      </c>
      <c r="G120" s="58">
        <v>88704</v>
      </c>
      <c r="H120" s="58">
        <v>79424</v>
      </c>
      <c r="I120" s="58">
        <v>18033</v>
      </c>
      <c r="J120" s="58">
        <v>9449</v>
      </c>
      <c r="K120" s="58">
        <v>8584</v>
      </c>
      <c r="L120" s="58">
        <v>123245</v>
      </c>
      <c r="M120" s="58">
        <v>68005</v>
      </c>
      <c r="N120" s="58">
        <v>55240</v>
      </c>
      <c r="O120" s="29">
        <f t="shared" si="5"/>
        <v>895</v>
      </c>
      <c r="P120" s="29">
        <f t="shared" si="6"/>
        <v>908</v>
      </c>
      <c r="Q120" s="30">
        <f t="shared" si="7"/>
        <v>82.11</v>
      </c>
      <c r="R120" s="30">
        <f t="shared" si="8"/>
        <v>85.81</v>
      </c>
      <c r="S120" s="30">
        <f t="shared" si="9"/>
        <v>77.98</v>
      </c>
    </row>
    <row r="121" spans="1:19" s="5" customFormat="1" ht="15.95" customHeight="1" x14ac:dyDescent="0.25">
      <c r="A121" s="24" t="s">
        <v>55</v>
      </c>
      <c r="B121" s="15" t="s">
        <v>393</v>
      </c>
      <c r="C121" s="56" t="s">
        <v>62</v>
      </c>
      <c r="D121" s="57" t="s">
        <v>431</v>
      </c>
      <c r="E121" s="27" t="s">
        <v>5</v>
      </c>
      <c r="F121" s="58">
        <v>164925</v>
      </c>
      <c r="G121" s="58">
        <v>87908</v>
      </c>
      <c r="H121" s="58">
        <v>77017</v>
      </c>
      <c r="I121" s="58">
        <v>18174</v>
      </c>
      <c r="J121" s="58">
        <v>9724</v>
      </c>
      <c r="K121" s="58">
        <v>8450</v>
      </c>
      <c r="L121" s="58">
        <v>122979</v>
      </c>
      <c r="M121" s="58">
        <v>68190</v>
      </c>
      <c r="N121" s="58">
        <v>54789</v>
      </c>
      <c r="O121" s="29">
        <f t="shared" si="5"/>
        <v>876</v>
      </c>
      <c r="P121" s="29">
        <f t="shared" si="6"/>
        <v>869</v>
      </c>
      <c r="Q121" s="30">
        <f t="shared" si="7"/>
        <v>83.8</v>
      </c>
      <c r="R121" s="30">
        <f t="shared" si="8"/>
        <v>87.22</v>
      </c>
      <c r="S121" s="30">
        <f t="shared" si="9"/>
        <v>79.91</v>
      </c>
    </row>
    <row r="122" spans="1:19" s="5" customFormat="1" ht="15.95" customHeight="1" x14ac:dyDescent="0.25">
      <c r="A122" s="24" t="s">
        <v>55</v>
      </c>
      <c r="B122" s="15" t="s">
        <v>393</v>
      </c>
      <c r="C122" s="56" t="s">
        <v>60</v>
      </c>
      <c r="D122" s="57" t="s">
        <v>430</v>
      </c>
      <c r="E122" s="27" t="s">
        <v>5</v>
      </c>
      <c r="F122" s="58">
        <v>161289</v>
      </c>
      <c r="G122" s="58">
        <v>86028</v>
      </c>
      <c r="H122" s="58">
        <v>75261</v>
      </c>
      <c r="I122" s="58">
        <v>20279</v>
      </c>
      <c r="J122" s="58">
        <v>11033</v>
      </c>
      <c r="K122" s="58">
        <v>9246</v>
      </c>
      <c r="L122" s="58">
        <v>110061</v>
      </c>
      <c r="M122" s="58">
        <v>62404</v>
      </c>
      <c r="N122" s="58">
        <v>47657</v>
      </c>
      <c r="O122" s="29">
        <f t="shared" si="5"/>
        <v>875</v>
      </c>
      <c r="P122" s="29">
        <f t="shared" si="6"/>
        <v>838</v>
      </c>
      <c r="Q122" s="30">
        <f t="shared" si="7"/>
        <v>78.05</v>
      </c>
      <c r="R122" s="30">
        <f t="shared" si="8"/>
        <v>83.21</v>
      </c>
      <c r="S122" s="30">
        <f t="shared" si="9"/>
        <v>72.19</v>
      </c>
    </row>
    <row r="123" spans="1:19" s="5" customFormat="1" ht="15.95" customHeight="1" x14ac:dyDescent="0.25">
      <c r="A123" s="24" t="s">
        <v>55</v>
      </c>
      <c r="B123" s="15" t="s">
        <v>393</v>
      </c>
      <c r="C123" s="56" t="s">
        <v>245</v>
      </c>
      <c r="D123" s="57" t="s">
        <v>429</v>
      </c>
      <c r="E123" s="27" t="s">
        <v>5</v>
      </c>
      <c r="F123" s="58">
        <v>160432</v>
      </c>
      <c r="G123" s="58">
        <v>85473</v>
      </c>
      <c r="H123" s="58">
        <v>74959</v>
      </c>
      <c r="I123" s="58">
        <v>18317</v>
      </c>
      <c r="J123" s="58">
        <v>9670</v>
      </c>
      <c r="K123" s="58">
        <v>8647</v>
      </c>
      <c r="L123" s="58">
        <v>118826</v>
      </c>
      <c r="M123" s="58">
        <v>67697</v>
      </c>
      <c r="N123" s="58">
        <v>51129</v>
      </c>
      <c r="O123" s="29">
        <f t="shared" si="5"/>
        <v>877</v>
      </c>
      <c r="P123" s="29">
        <f t="shared" si="6"/>
        <v>894</v>
      </c>
      <c r="Q123" s="30">
        <f t="shared" si="7"/>
        <v>83.61</v>
      </c>
      <c r="R123" s="30">
        <f t="shared" si="8"/>
        <v>89.31</v>
      </c>
      <c r="S123" s="30">
        <f t="shared" si="9"/>
        <v>77.099999999999994</v>
      </c>
    </row>
    <row r="124" spans="1:19" s="5" customFormat="1" ht="15.95" customHeight="1" x14ac:dyDescent="0.25">
      <c r="A124" s="24" t="s">
        <v>55</v>
      </c>
      <c r="B124" s="15" t="s">
        <v>393</v>
      </c>
      <c r="C124" s="56" t="s">
        <v>18</v>
      </c>
      <c r="D124" s="57" t="s">
        <v>428</v>
      </c>
      <c r="E124" s="27" t="s">
        <v>5</v>
      </c>
      <c r="F124" s="58">
        <v>160146</v>
      </c>
      <c r="G124" s="58">
        <v>84546</v>
      </c>
      <c r="H124" s="58">
        <v>75600</v>
      </c>
      <c r="I124" s="58">
        <v>16089</v>
      </c>
      <c r="J124" s="58">
        <v>8415</v>
      </c>
      <c r="K124" s="58">
        <v>7674</v>
      </c>
      <c r="L124" s="58">
        <v>104149</v>
      </c>
      <c r="M124" s="58">
        <v>57604</v>
      </c>
      <c r="N124" s="58">
        <v>46545</v>
      </c>
      <c r="O124" s="29">
        <f t="shared" si="5"/>
        <v>894</v>
      </c>
      <c r="P124" s="29">
        <f t="shared" si="6"/>
        <v>912</v>
      </c>
      <c r="Q124" s="30">
        <f t="shared" si="7"/>
        <v>72.3</v>
      </c>
      <c r="R124" s="30">
        <f t="shared" si="8"/>
        <v>75.66</v>
      </c>
      <c r="S124" s="30">
        <f t="shared" si="9"/>
        <v>68.52</v>
      </c>
    </row>
    <row r="125" spans="1:19" s="5" customFormat="1" ht="15.95" customHeight="1" x14ac:dyDescent="0.25">
      <c r="A125" s="24" t="s">
        <v>55</v>
      </c>
      <c r="B125" s="15" t="s">
        <v>393</v>
      </c>
      <c r="C125" s="56" t="s">
        <v>123</v>
      </c>
      <c r="D125" s="57" t="s">
        <v>427</v>
      </c>
      <c r="E125" s="36" t="s">
        <v>0</v>
      </c>
      <c r="F125" s="58">
        <v>159221</v>
      </c>
      <c r="G125" s="58">
        <v>83475</v>
      </c>
      <c r="H125" s="58">
        <v>75746</v>
      </c>
      <c r="I125" s="58">
        <v>19613</v>
      </c>
      <c r="J125" s="58">
        <v>10420</v>
      </c>
      <c r="K125" s="58">
        <v>9193</v>
      </c>
      <c r="L125" s="58">
        <v>101914</v>
      </c>
      <c r="M125" s="58">
        <v>56012</v>
      </c>
      <c r="N125" s="58">
        <v>45902</v>
      </c>
      <c r="O125" s="29">
        <f t="shared" si="5"/>
        <v>907</v>
      </c>
      <c r="P125" s="29">
        <f t="shared" si="6"/>
        <v>882</v>
      </c>
      <c r="Q125" s="30">
        <f t="shared" si="7"/>
        <v>73</v>
      </c>
      <c r="R125" s="30">
        <f t="shared" si="8"/>
        <v>76.67</v>
      </c>
      <c r="S125" s="30">
        <f t="shared" si="9"/>
        <v>68.97</v>
      </c>
    </row>
    <row r="126" spans="1:19" s="5" customFormat="1" ht="15.95" customHeight="1" x14ac:dyDescent="0.25">
      <c r="A126" s="24" t="s">
        <v>55</v>
      </c>
      <c r="B126" s="15" t="s">
        <v>393</v>
      </c>
      <c r="C126" s="56" t="s">
        <v>426</v>
      </c>
      <c r="D126" s="57" t="s">
        <v>425</v>
      </c>
      <c r="E126" s="27" t="s">
        <v>5</v>
      </c>
      <c r="F126" s="58">
        <v>154692</v>
      </c>
      <c r="G126" s="58">
        <v>81524</v>
      </c>
      <c r="H126" s="58">
        <v>73168</v>
      </c>
      <c r="I126" s="58">
        <v>19055</v>
      </c>
      <c r="J126" s="58">
        <v>10078</v>
      </c>
      <c r="K126" s="58">
        <v>8977</v>
      </c>
      <c r="L126" s="58">
        <v>105904</v>
      </c>
      <c r="M126" s="58">
        <v>60152</v>
      </c>
      <c r="N126" s="58">
        <v>45752</v>
      </c>
      <c r="O126" s="29">
        <f t="shared" si="5"/>
        <v>898</v>
      </c>
      <c r="P126" s="29">
        <f t="shared" si="6"/>
        <v>891</v>
      </c>
      <c r="Q126" s="30">
        <f t="shared" si="7"/>
        <v>78.08</v>
      </c>
      <c r="R126" s="30">
        <f t="shared" si="8"/>
        <v>84.19</v>
      </c>
      <c r="S126" s="30">
        <f t="shared" si="9"/>
        <v>71.27</v>
      </c>
    </row>
    <row r="127" spans="1:19" s="5" customFormat="1" ht="15.95" customHeight="1" x14ac:dyDescent="0.25">
      <c r="A127" s="24" t="s">
        <v>55</v>
      </c>
      <c r="B127" s="15" t="s">
        <v>393</v>
      </c>
      <c r="C127" s="56" t="s">
        <v>424</v>
      </c>
      <c r="D127" s="57" t="s">
        <v>423</v>
      </c>
      <c r="E127" s="27" t="s">
        <v>5</v>
      </c>
      <c r="F127" s="58">
        <v>146831</v>
      </c>
      <c r="G127" s="58">
        <v>77766</v>
      </c>
      <c r="H127" s="58">
        <v>69065</v>
      </c>
      <c r="I127" s="58">
        <v>16093</v>
      </c>
      <c r="J127" s="58">
        <v>8434</v>
      </c>
      <c r="K127" s="58">
        <v>7659</v>
      </c>
      <c r="L127" s="58">
        <v>106097</v>
      </c>
      <c r="M127" s="58">
        <v>58608</v>
      </c>
      <c r="N127" s="58">
        <v>47489</v>
      </c>
      <c r="O127" s="29">
        <f t="shared" si="5"/>
        <v>888</v>
      </c>
      <c r="P127" s="29">
        <f t="shared" si="6"/>
        <v>908</v>
      </c>
      <c r="Q127" s="30">
        <f t="shared" si="7"/>
        <v>81.150000000000006</v>
      </c>
      <c r="R127" s="30">
        <f t="shared" si="8"/>
        <v>84.53</v>
      </c>
      <c r="S127" s="30">
        <f t="shared" si="9"/>
        <v>77.34</v>
      </c>
    </row>
    <row r="128" spans="1:19" s="5" customFormat="1" ht="15.95" customHeight="1" x14ac:dyDescent="0.25">
      <c r="A128" s="24" t="s">
        <v>55</v>
      </c>
      <c r="B128" s="15" t="s">
        <v>393</v>
      </c>
      <c r="C128" s="56" t="s">
        <v>48</v>
      </c>
      <c r="D128" s="57" t="s">
        <v>422</v>
      </c>
      <c r="E128" s="27" t="s">
        <v>5</v>
      </c>
      <c r="F128" s="58">
        <v>142636</v>
      </c>
      <c r="G128" s="58">
        <v>75384</v>
      </c>
      <c r="H128" s="58">
        <v>67252</v>
      </c>
      <c r="I128" s="58">
        <v>20072</v>
      </c>
      <c r="J128" s="58">
        <v>10995</v>
      </c>
      <c r="K128" s="58">
        <v>9077</v>
      </c>
      <c r="L128" s="58">
        <v>84220</v>
      </c>
      <c r="M128" s="58">
        <v>48765</v>
      </c>
      <c r="N128" s="58">
        <v>35455</v>
      </c>
      <c r="O128" s="29">
        <f t="shared" si="5"/>
        <v>892</v>
      </c>
      <c r="P128" s="29">
        <f t="shared" si="6"/>
        <v>826</v>
      </c>
      <c r="Q128" s="30">
        <f t="shared" si="7"/>
        <v>68.72</v>
      </c>
      <c r="R128" s="30">
        <f t="shared" si="8"/>
        <v>75.73</v>
      </c>
      <c r="S128" s="30">
        <f t="shared" si="9"/>
        <v>60.95</v>
      </c>
    </row>
    <row r="129" spans="1:19" s="5" customFormat="1" ht="15.95" customHeight="1" x14ac:dyDescent="0.25">
      <c r="A129" s="24" t="s">
        <v>55</v>
      </c>
      <c r="B129" s="15" t="s">
        <v>393</v>
      </c>
      <c r="C129" s="56" t="s">
        <v>421</v>
      </c>
      <c r="D129" s="57" t="s">
        <v>420</v>
      </c>
      <c r="E129" s="27" t="s">
        <v>5</v>
      </c>
      <c r="F129" s="58">
        <v>138929</v>
      </c>
      <c r="G129" s="58">
        <v>71475</v>
      </c>
      <c r="H129" s="58">
        <v>67454</v>
      </c>
      <c r="I129" s="58">
        <v>15608</v>
      </c>
      <c r="J129" s="58">
        <v>8253</v>
      </c>
      <c r="K129" s="58">
        <v>7355</v>
      </c>
      <c r="L129" s="58">
        <v>99057</v>
      </c>
      <c r="M129" s="58">
        <v>55067</v>
      </c>
      <c r="N129" s="58">
        <v>43990</v>
      </c>
      <c r="O129" s="29">
        <f t="shared" si="5"/>
        <v>944</v>
      </c>
      <c r="P129" s="29">
        <f t="shared" si="6"/>
        <v>891</v>
      </c>
      <c r="Q129" s="30">
        <f t="shared" si="7"/>
        <v>80.319999999999993</v>
      </c>
      <c r="R129" s="30">
        <f t="shared" si="8"/>
        <v>87.1</v>
      </c>
      <c r="S129" s="30">
        <f t="shared" si="9"/>
        <v>73.2</v>
      </c>
    </row>
    <row r="130" spans="1:19" s="5" customFormat="1" ht="15.95" customHeight="1" x14ac:dyDescent="0.25">
      <c r="A130" s="24" t="s">
        <v>55</v>
      </c>
      <c r="B130" s="15" t="s">
        <v>393</v>
      </c>
      <c r="C130" s="56" t="s">
        <v>11</v>
      </c>
      <c r="D130" s="57" t="s">
        <v>419</v>
      </c>
      <c r="E130" s="27" t="s">
        <v>5</v>
      </c>
      <c r="F130" s="58">
        <v>133078</v>
      </c>
      <c r="G130" s="58">
        <v>69788</v>
      </c>
      <c r="H130" s="58">
        <v>63290</v>
      </c>
      <c r="I130" s="58">
        <v>16371</v>
      </c>
      <c r="J130" s="58">
        <v>8827</v>
      </c>
      <c r="K130" s="58">
        <v>7544</v>
      </c>
      <c r="L130" s="58">
        <v>99977</v>
      </c>
      <c r="M130" s="58">
        <v>54592</v>
      </c>
      <c r="N130" s="58">
        <v>45385</v>
      </c>
      <c r="O130" s="29">
        <f t="shared" si="5"/>
        <v>907</v>
      </c>
      <c r="P130" s="29">
        <f t="shared" si="6"/>
        <v>855</v>
      </c>
      <c r="Q130" s="30">
        <f t="shared" si="7"/>
        <v>85.66</v>
      </c>
      <c r="R130" s="30">
        <f t="shared" si="8"/>
        <v>89.55</v>
      </c>
      <c r="S130" s="30">
        <f t="shared" si="9"/>
        <v>81.41</v>
      </c>
    </row>
    <row r="131" spans="1:19" s="5" customFormat="1" ht="15.95" customHeight="1" x14ac:dyDescent="0.25">
      <c r="A131" s="24" t="s">
        <v>55</v>
      </c>
      <c r="B131" s="15" t="s">
        <v>393</v>
      </c>
      <c r="C131" s="56" t="s">
        <v>418</v>
      </c>
      <c r="D131" s="57" t="s">
        <v>417</v>
      </c>
      <c r="E131" s="36" t="s">
        <v>0</v>
      </c>
      <c r="F131" s="58">
        <v>133041</v>
      </c>
      <c r="G131" s="58">
        <v>69548</v>
      </c>
      <c r="H131" s="58">
        <v>63493</v>
      </c>
      <c r="I131" s="58">
        <v>16193</v>
      </c>
      <c r="J131" s="58">
        <v>8413</v>
      </c>
      <c r="K131" s="58">
        <v>7780</v>
      </c>
      <c r="L131" s="58">
        <v>98108</v>
      </c>
      <c r="M131" s="58">
        <v>55330</v>
      </c>
      <c r="N131" s="58">
        <v>42778</v>
      </c>
      <c r="O131" s="29">
        <f t="shared" si="5"/>
        <v>913</v>
      </c>
      <c r="P131" s="29">
        <f t="shared" si="6"/>
        <v>925</v>
      </c>
      <c r="Q131" s="30">
        <f t="shared" si="7"/>
        <v>83.96</v>
      </c>
      <c r="R131" s="30">
        <f t="shared" si="8"/>
        <v>90.5</v>
      </c>
      <c r="S131" s="30">
        <f t="shared" si="9"/>
        <v>76.78</v>
      </c>
    </row>
    <row r="132" spans="1:19" s="5" customFormat="1" ht="15.95" customHeight="1" x14ac:dyDescent="0.25">
      <c r="A132" s="24" t="s">
        <v>55</v>
      </c>
      <c r="B132" s="15" t="s">
        <v>393</v>
      </c>
      <c r="C132" s="56" t="s">
        <v>416</v>
      </c>
      <c r="D132" s="57" t="s">
        <v>415</v>
      </c>
      <c r="E132" s="27" t="s">
        <v>5</v>
      </c>
      <c r="F132" s="58">
        <v>131023</v>
      </c>
      <c r="G132" s="58">
        <v>69446</v>
      </c>
      <c r="H132" s="58">
        <v>61577</v>
      </c>
      <c r="I132" s="58">
        <v>15890</v>
      </c>
      <c r="J132" s="58">
        <v>8485</v>
      </c>
      <c r="K132" s="58">
        <v>7405</v>
      </c>
      <c r="L132" s="58">
        <v>98581</v>
      </c>
      <c r="M132" s="58">
        <v>54794</v>
      </c>
      <c r="N132" s="58">
        <v>43787</v>
      </c>
      <c r="O132" s="29">
        <f t="shared" ref="O132:O195" si="10">ROUND((H132/G132)*1000,0)</f>
        <v>887</v>
      </c>
      <c r="P132" s="29">
        <f t="shared" ref="P132:P195" si="11">ROUND((K132/J132)*1000,0)</f>
        <v>873</v>
      </c>
      <c r="Q132" s="30">
        <f t="shared" ref="Q132:Q195" si="12">ROUND(L132/(F132-I132)*100,2)</f>
        <v>85.62</v>
      </c>
      <c r="R132" s="30">
        <f t="shared" ref="R132:R195" si="13">ROUND(M132/(G132-J132)*100,2)</f>
        <v>89.88</v>
      </c>
      <c r="S132" s="30">
        <f t="shared" ref="S132:S195" si="14">ROUND(N132/(H132-K132)*100,2)</f>
        <v>80.83</v>
      </c>
    </row>
    <row r="133" spans="1:19" s="5" customFormat="1" ht="15.95" customHeight="1" x14ac:dyDescent="0.25">
      <c r="A133" s="24" t="s">
        <v>55</v>
      </c>
      <c r="B133" s="15" t="s">
        <v>393</v>
      </c>
      <c r="C133" s="56" t="s">
        <v>414</v>
      </c>
      <c r="D133" s="57" t="s">
        <v>413</v>
      </c>
      <c r="E133" s="36" t="s">
        <v>0</v>
      </c>
      <c r="F133" s="58">
        <v>129570</v>
      </c>
      <c r="G133" s="58">
        <v>67754</v>
      </c>
      <c r="H133" s="58">
        <v>61816</v>
      </c>
      <c r="I133" s="58">
        <v>13821</v>
      </c>
      <c r="J133" s="58">
        <v>7243</v>
      </c>
      <c r="K133" s="58">
        <v>6578</v>
      </c>
      <c r="L133" s="58">
        <v>102802</v>
      </c>
      <c r="M133" s="58">
        <v>56719</v>
      </c>
      <c r="N133" s="58">
        <v>46083</v>
      </c>
      <c r="O133" s="29">
        <f t="shared" si="10"/>
        <v>912</v>
      </c>
      <c r="P133" s="29">
        <f t="shared" si="11"/>
        <v>908</v>
      </c>
      <c r="Q133" s="30">
        <f t="shared" si="12"/>
        <v>88.81</v>
      </c>
      <c r="R133" s="30">
        <f t="shared" si="13"/>
        <v>93.73</v>
      </c>
      <c r="S133" s="30">
        <f t="shared" si="14"/>
        <v>83.43</v>
      </c>
    </row>
    <row r="134" spans="1:19" s="5" customFormat="1" ht="15.95" customHeight="1" x14ac:dyDescent="0.25">
      <c r="A134" s="24" t="s">
        <v>55</v>
      </c>
      <c r="B134" s="15" t="s">
        <v>393</v>
      </c>
      <c r="C134" s="56" t="s">
        <v>412</v>
      </c>
      <c r="D134" s="57" t="s">
        <v>411</v>
      </c>
      <c r="E134" s="27" t="s">
        <v>5</v>
      </c>
      <c r="F134" s="58">
        <v>121136</v>
      </c>
      <c r="G134" s="58">
        <v>63689</v>
      </c>
      <c r="H134" s="58">
        <v>57447</v>
      </c>
      <c r="I134" s="58">
        <v>13986</v>
      </c>
      <c r="J134" s="58">
        <v>7488</v>
      </c>
      <c r="K134" s="58">
        <v>6498</v>
      </c>
      <c r="L134" s="58">
        <v>91049</v>
      </c>
      <c r="M134" s="58">
        <v>50711</v>
      </c>
      <c r="N134" s="58">
        <v>40338</v>
      </c>
      <c r="O134" s="29">
        <f t="shared" si="10"/>
        <v>902</v>
      </c>
      <c r="P134" s="29">
        <f t="shared" si="11"/>
        <v>868</v>
      </c>
      <c r="Q134" s="30">
        <f t="shared" si="12"/>
        <v>84.97</v>
      </c>
      <c r="R134" s="30">
        <f t="shared" si="13"/>
        <v>90.23</v>
      </c>
      <c r="S134" s="30">
        <f t="shared" si="14"/>
        <v>79.17</v>
      </c>
    </row>
    <row r="135" spans="1:19" s="5" customFormat="1" ht="15.95" customHeight="1" x14ac:dyDescent="0.25">
      <c r="A135" s="24" t="s">
        <v>55</v>
      </c>
      <c r="B135" s="15" t="s">
        <v>393</v>
      </c>
      <c r="C135" s="56" t="s">
        <v>410</v>
      </c>
      <c r="D135" s="57" t="s">
        <v>409</v>
      </c>
      <c r="E135" s="27" t="s">
        <v>5</v>
      </c>
      <c r="F135" s="58">
        <v>116211</v>
      </c>
      <c r="G135" s="58">
        <v>61062</v>
      </c>
      <c r="H135" s="58">
        <v>55149</v>
      </c>
      <c r="I135" s="58">
        <v>12368</v>
      </c>
      <c r="J135" s="58">
        <v>6577</v>
      </c>
      <c r="K135" s="58">
        <v>5791</v>
      </c>
      <c r="L135" s="58">
        <v>90980</v>
      </c>
      <c r="M135" s="58">
        <v>49828</v>
      </c>
      <c r="N135" s="58">
        <v>41152</v>
      </c>
      <c r="O135" s="29">
        <f t="shared" si="10"/>
        <v>903</v>
      </c>
      <c r="P135" s="29">
        <f t="shared" si="11"/>
        <v>880</v>
      </c>
      <c r="Q135" s="30">
        <f t="shared" si="12"/>
        <v>87.61</v>
      </c>
      <c r="R135" s="30">
        <f t="shared" si="13"/>
        <v>91.45</v>
      </c>
      <c r="S135" s="30">
        <f t="shared" si="14"/>
        <v>83.37</v>
      </c>
    </row>
    <row r="136" spans="1:19" s="5" customFormat="1" ht="15.95" customHeight="1" x14ac:dyDescent="0.25">
      <c r="A136" s="24" t="s">
        <v>55</v>
      </c>
      <c r="B136" s="15" t="s">
        <v>393</v>
      </c>
      <c r="C136" s="56" t="s">
        <v>399</v>
      </c>
      <c r="D136" s="57" t="s">
        <v>408</v>
      </c>
      <c r="E136" s="27" t="s">
        <v>5</v>
      </c>
      <c r="F136" s="58">
        <v>116165</v>
      </c>
      <c r="G136" s="58">
        <v>60678</v>
      </c>
      <c r="H136" s="58">
        <v>55487</v>
      </c>
      <c r="I136" s="58">
        <v>13287</v>
      </c>
      <c r="J136" s="58">
        <v>7136</v>
      </c>
      <c r="K136" s="58">
        <v>6151</v>
      </c>
      <c r="L136" s="58">
        <v>88748</v>
      </c>
      <c r="M136" s="58">
        <v>48716</v>
      </c>
      <c r="N136" s="58">
        <v>40032</v>
      </c>
      <c r="O136" s="29">
        <f t="shared" si="10"/>
        <v>914</v>
      </c>
      <c r="P136" s="29">
        <f t="shared" si="11"/>
        <v>862</v>
      </c>
      <c r="Q136" s="30">
        <f t="shared" si="12"/>
        <v>86.27</v>
      </c>
      <c r="R136" s="30">
        <f t="shared" si="13"/>
        <v>90.99</v>
      </c>
      <c r="S136" s="30">
        <f t="shared" si="14"/>
        <v>81.14</v>
      </c>
    </row>
    <row r="137" spans="1:19" s="5" customFormat="1" ht="15.95" customHeight="1" x14ac:dyDescent="0.25">
      <c r="A137" s="24" t="s">
        <v>55</v>
      </c>
      <c r="B137" s="15" t="s">
        <v>393</v>
      </c>
      <c r="C137" s="56" t="s">
        <v>2</v>
      </c>
      <c r="D137" s="57" t="s">
        <v>407</v>
      </c>
      <c r="E137" s="27" t="s">
        <v>5</v>
      </c>
      <c r="F137" s="58">
        <v>115381</v>
      </c>
      <c r="G137" s="58">
        <v>60656</v>
      </c>
      <c r="H137" s="58">
        <v>54725</v>
      </c>
      <c r="I137" s="58">
        <v>14499</v>
      </c>
      <c r="J137" s="58">
        <v>7760</v>
      </c>
      <c r="K137" s="58">
        <v>6739</v>
      </c>
      <c r="L137" s="58">
        <v>78584</v>
      </c>
      <c r="M137" s="58">
        <v>43122</v>
      </c>
      <c r="N137" s="58">
        <v>35462</v>
      </c>
      <c r="O137" s="29">
        <f t="shared" si="10"/>
        <v>902</v>
      </c>
      <c r="P137" s="29">
        <f t="shared" si="11"/>
        <v>868</v>
      </c>
      <c r="Q137" s="30">
        <f t="shared" si="12"/>
        <v>77.900000000000006</v>
      </c>
      <c r="R137" s="30">
        <f t="shared" si="13"/>
        <v>81.52</v>
      </c>
      <c r="S137" s="30">
        <f t="shared" si="14"/>
        <v>73.900000000000006</v>
      </c>
    </row>
    <row r="138" spans="1:19" s="5" customFormat="1" ht="15.95" customHeight="1" x14ac:dyDescent="0.25">
      <c r="A138" s="24" t="s">
        <v>55</v>
      </c>
      <c r="B138" s="15" t="s">
        <v>393</v>
      </c>
      <c r="C138" s="56" t="s">
        <v>406</v>
      </c>
      <c r="D138" s="57" t="s">
        <v>405</v>
      </c>
      <c r="E138" s="36" t="s">
        <v>0</v>
      </c>
      <c r="F138" s="58">
        <v>114651</v>
      </c>
      <c r="G138" s="58">
        <v>60126</v>
      </c>
      <c r="H138" s="58">
        <v>54525</v>
      </c>
      <c r="I138" s="58">
        <v>12568</v>
      </c>
      <c r="J138" s="58">
        <v>6541</v>
      </c>
      <c r="K138" s="58">
        <v>6027</v>
      </c>
      <c r="L138" s="58">
        <v>87065</v>
      </c>
      <c r="M138" s="58">
        <v>48473</v>
      </c>
      <c r="N138" s="58">
        <v>38592</v>
      </c>
      <c r="O138" s="29">
        <f t="shared" si="10"/>
        <v>907</v>
      </c>
      <c r="P138" s="29">
        <f t="shared" si="11"/>
        <v>921</v>
      </c>
      <c r="Q138" s="30">
        <f t="shared" si="12"/>
        <v>85.29</v>
      </c>
      <c r="R138" s="30">
        <f t="shared" si="13"/>
        <v>90.46</v>
      </c>
      <c r="S138" s="30">
        <f t="shared" si="14"/>
        <v>79.569999999999993</v>
      </c>
    </row>
    <row r="139" spans="1:19" s="5" customFormat="1" ht="15.95" customHeight="1" x14ac:dyDescent="0.25">
      <c r="A139" s="24" t="s">
        <v>55</v>
      </c>
      <c r="B139" s="15" t="s">
        <v>393</v>
      </c>
      <c r="C139" s="56" t="s">
        <v>15</v>
      </c>
      <c r="D139" s="57" t="s">
        <v>404</v>
      </c>
      <c r="E139" s="36" t="s">
        <v>0</v>
      </c>
      <c r="F139" s="58">
        <v>114254</v>
      </c>
      <c r="G139" s="58">
        <v>60238</v>
      </c>
      <c r="H139" s="58">
        <v>54016</v>
      </c>
      <c r="I139" s="58">
        <v>14417</v>
      </c>
      <c r="J139" s="58">
        <v>7730</v>
      </c>
      <c r="K139" s="58">
        <v>6687</v>
      </c>
      <c r="L139" s="58">
        <v>72515</v>
      </c>
      <c r="M139" s="58">
        <v>40323</v>
      </c>
      <c r="N139" s="58">
        <v>32192</v>
      </c>
      <c r="O139" s="29">
        <f t="shared" si="10"/>
        <v>897</v>
      </c>
      <c r="P139" s="29">
        <f t="shared" si="11"/>
        <v>865</v>
      </c>
      <c r="Q139" s="30">
        <f t="shared" si="12"/>
        <v>72.63</v>
      </c>
      <c r="R139" s="30">
        <f t="shared" si="13"/>
        <v>76.790000000000006</v>
      </c>
      <c r="S139" s="30">
        <f t="shared" si="14"/>
        <v>68.02</v>
      </c>
    </row>
    <row r="140" spans="1:19" s="5" customFormat="1" ht="15.95" customHeight="1" x14ac:dyDescent="0.25">
      <c r="A140" s="24" t="s">
        <v>55</v>
      </c>
      <c r="B140" s="15" t="s">
        <v>393</v>
      </c>
      <c r="C140" s="56" t="s">
        <v>403</v>
      </c>
      <c r="D140" s="57" t="s">
        <v>402</v>
      </c>
      <c r="E140" s="36" t="s">
        <v>0</v>
      </c>
      <c r="F140" s="58">
        <v>111594</v>
      </c>
      <c r="G140" s="58">
        <v>57560</v>
      </c>
      <c r="H140" s="58">
        <v>54034</v>
      </c>
      <c r="I140" s="58">
        <v>14037</v>
      </c>
      <c r="J140" s="58">
        <v>7247</v>
      </c>
      <c r="K140" s="58">
        <v>6790</v>
      </c>
      <c r="L140" s="58">
        <v>75062</v>
      </c>
      <c r="M140" s="58">
        <v>42208</v>
      </c>
      <c r="N140" s="58">
        <v>32854</v>
      </c>
      <c r="O140" s="29">
        <f t="shared" si="10"/>
        <v>939</v>
      </c>
      <c r="P140" s="29">
        <f t="shared" si="11"/>
        <v>937</v>
      </c>
      <c r="Q140" s="30">
        <f t="shared" si="12"/>
        <v>76.94</v>
      </c>
      <c r="R140" s="30">
        <f t="shared" si="13"/>
        <v>83.89</v>
      </c>
      <c r="S140" s="30">
        <f t="shared" si="14"/>
        <v>69.540000000000006</v>
      </c>
    </row>
    <row r="141" spans="1:19" s="5" customFormat="1" ht="15.95" customHeight="1" x14ac:dyDescent="0.25">
      <c r="A141" s="24" t="s">
        <v>55</v>
      </c>
      <c r="B141" s="15" t="s">
        <v>393</v>
      </c>
      <c r="C141" s="56" t="s">
        <v>401</v>
      </c>
      <c r="D141" s="57" t="s">
        <v>400</v>
      </c>
      <c r="E141" s="27" t="s">
        <v>5</v>
      </c>
      <c r="F141" s="58">
        <v>111287</v>
      </c>
      <c r="G141" s="58">
        <v>59340</v>
      </c>
      <c r="H141" s="58">
        <v>51947</v>
      </c>
      <c r="I141" s="58">
        <v>11522</v>
      </c>
      <c r="J141" s="58">
        <v>6145</v>
      </c>
      <c r="K141" s="58">
        <v>5377</v>
      </c>
      <c r="L141" s="58">
        <v>86442</v>
      </c>
      <c r="M141" s="58">
        <v>48425</v>
      </c>
      <c r="N141" s="58">
        <v>38017</v>
      </c>
      <c r="O141" s="29">
        <f t="shared" si="10"/>
        <v>875</v>
      </c>
      <c r="P141" s="29">
        <f t="shared" si="11"/>
        <v>875</v>
      </c>
      <c r="Q141" s="30">
        <f t="shared" si="12"/>
        <v>86.65</v>
      </c>
      <c r="R141" s="30">
        <f t="shared" si="13"/>
        <v>91.03</v>
      </c>
      <c r="S141" s="30">
        <f t="shared" si="14"/>
        <v>81.63</v>
      </c>
    </row>
    <row r="142" spans="1:19" s="5" customFormat="1" ht="15.95" customHeight="1" x14ac:dyDescent="0.25">
      <c r="A142" s="24" t="s">
        <v>55</v>
      </c>
      <c r="B142" s="15" t="s">
        <v>393</v>
      </c>
      <c r="C142" s="56" t="s">
        <v>399</v>
      </c>
      <c r="D142" s="57" t="s">
        <v>398</v>
      </c>
      <c r="E142" s="27" t="s">
        <v>5</v>
      </c>
      <c r="F142" s="58">
        <v>109539</v>
      </c>
      <c r="G142" s="58">
        <v>55946</v>
      </c>
      <c r="H142" s="58">
        <v>53593</v>
      </c>
      <c r="I142" s="58">
        <v>16147</v>
      </c>
      <c r="J142" s="58">
        <v>8168</v>
      </c>
      <c r="K142" s="58">
        <v>7979</v>
      </c>
      <c r="L142" s="58">
        <v>64678</v>
      </c>
      <c r="M142" s="58">
        <v>34825</v>
      </c>
      <c r="N142" s="58">
        <v>29853</v>
      </c>
      <c r="O142" s="29">
        <f t="shared" si="10"/>
        <v>958</v>
      </c>
      <c r="P142" s="29">
        <f t="shared" si="11"/>
        <v>977</v>
      </c>
      <c r="Q142" s="30">
        <f t="shared" si="12"/>
        <v>69.25</v>
      </c>
      <c r="R142" s="30">
        <f t="shared" si="13"/>
        <v>72.89</v>
      </c>
      <c r="S142" s="30">
        <f t="shared" si="14"/>
        <v>65.45</v>
      </c>
    </row>
    <row r="143" spans="1:19" s="5" customFormat="1" ht="15.95" customHeight="1" x14ac:dyDescent="0.25">
      <c r="A143" s="24" t="s">
        <v>55</v>
      </c>
      <c r="B143" s="15" t="s">
        <v>393</v>
      </c>
      <c r="C143" s="56" t="s">
        <v>41</v>
      </c>
      <c r="D143" s="57" t="s">
        <v>397</v>
      </c>
      <c r="E143" s="36" t="s">
        <v>185</v>
      </c>
      <c r="F143" s="58">
        <v>107676</v>
      </c>
      <c r="G143" s="58">
        <v>58662</v>
      </c>
      <c r="H143" s="58">
        <v>49014</v>
      </c>
      <c r="I143" s="58">
        <v>15517</v>
      </c>
      <c r="J143" s="58">
        <v>8512</v>
      </c>
      <c r="K143" s="58">
        <v>7005</v>
      </c>
      <c r="L143" s="58">
        <v>79757</v>
      </c>
      <c r="M143" s="58">
        <v>45878</v>
      </c>
      <c r="N143" s="58">
        <v>33879</v>
      </c>
      <c r="O143" s="29">
        <f t="shared" si="10"/>
        <v>836</v>
      </c>
      <c r="P143" s="29">
        <f t="shared" si="11"/>
        <v>823</v>
      </c>
      <c r="Q143" s="30">
        <f t="shared" si="12"/>
        <v>86.54</v>
      </c>
      <c r="R143" s="30">
        <f t="shared" si="13"/>
        <v>91.48</v>
      </c>
      <c r="S143" s="30">
        <f t="shared" si="14"/>
        <v>80.650000000000006</v>
      </c>
    </row>
    <row r="144" spans="1:19" s="5" customFormat="1" ht="15.95" customHeight="1" x14ac:dyDescent="0.25">
      <c r="A144" s="24" t="s">
        <v>55</v>
      </c>
      <c r="B144" s="15" t="s">
        <v>393</v>
      </c>
      <c r="C144" s="56" t="s">
        <v>29</v>
      </c>
      <c r="D144" s="57" t="s">
        <v>396</v>
      </c>
      <c r="E144" s="36" t="s">
        <v>0</v>
      </c>
      <c r="F144" s="58">
        <v>107300</v>
      </c>
      <c r="G144" s="58">
        <v>57017</v>
      </c>
      <c r="H144" s="58">
        <v>50283</v>
      </c>
      <c r="I144" s="58">
        <v>12956</v>
      </c>
      <c r="J144" s="58">
        <v>7106</v>
      </c>
      <c r="K144" s="58">
        <v>5850</v>
      </c>
      <c r="L144" s="58">
        <v>77060</v>
      </c>
      <c r="M144" s="58">
        <v>43030</v>
      </c>
      <c r="N144" s="58">
        <v>34030</v>
      </c>
      <c r="O144" s="29">
        <f t="shared" si="10"/>
        <v>882</v>
      </c>
      <c r="P144" s="29">
        <f t="shared" si="11"/>
        <v>823</v>
      </c>
      <c r="Q144" s="30">
        <f t="shared" si="12"/>
        <v>81.680000000000007</v>
      </c>
      <c r="R144" s="30">
        <f t="shared" si="13"/>
        <v>86.21</v>
      </c>
      <c r="S144" s="30">
        <f t="shared" si="14"/>
        <v>76.59</v>
      </c>
    </row>
    <row r="145" spans="1:19" s="5" customFormat="1" ht="15.95" customHeight="1" x14ac:dyDescent="0.25">
      <c r="A145" s="24" t="s">
        <v>55</v>
      </c>
      <c r="B145" s="15" t="s">
        <v>393</v>
      </c>
      <c r="C145" s="56" t="s">
        <v>7</v>
      </c>
      <c r="D145" s="57" t="s">
        <v>395</v>
      </c>
      <c r="E145" s="36" t="s">
        <v>0</v>
      </c>
      <c r="F145" s="58">
        <v>107233</v>
      </c>
      <c r="G145" s="58">
        <v>57236</v>
      </c>
      <c r="H145" s="58">
        <v>49997</v>
      </c>
      <c r="I145" s="58">
        <v>13724</v>
      </c>
      <c r="J145" s="58">
        <v>7634</v>
      </c>
      <c r="K145" s="58">
        <v>6090</v>
      </c>
      <c r="L145" s="58">
        <v>76650</v>
      </c>
      <c r="M145" s="58">
        <v>43469</v>
      </c>
      <c r="N145" s="58">
        <v>33181</v>
      </c>
      <c r="O145" s="29">
        <f t="shared" si="10"/>
        <v>874</v>
      </c>
      <c r="P145" s="29">
        <f t="shared" si="11"/>
        <v>798</v>
      </c>
      <c r="Q145" s="30">
        <f t="shared" si="12"/>
        <v>81.97</v>
      </c>
      <c r="R145" s="30">
        <f t="shared" si="13"/>
        <v>87.64</v>
      </c>
      <c r="S145" s="30">
        <f t="shared" si="14"/>
        <v>75.569999999999993</v>
      </c>
    </row>
    <row r="146" spans="1:19" s="5" customFormat="1" ht="15.95" customHeight="1" x14ac:dyDescent="0.25">
      <c r="A146" s="24" t="s">
        <v>55</v>
      </c>
      <c r="B146" s="15" t="s">
        <v>393</v>
      </c>
      <c r="C146" s="56" t="s">
        <v>34</v>
      </c>
      <c r="D146" s="57" t="s">
        <v>394</v>
      </c>
      <c r="E146" s="36" t="s">
        <v>0</v>
      </c>
      <c r="F146" s="58">
        <v>102733</v>
      </c>
      <c r="G146" s="58">
        <v>54521</v>
      </c>
      <c r="H146" s="58">
        <v>48212</v>
      </c>
      <c r="I146" s="58">
        <v>13536</v>
      </c>
      <c r="J146" s="58">
        <v>7387</v>
      </c>
      <c r="K146" s="58">
        <v>6149</v>
      </c>
      <c r="L146" s="58">
        <v>69559</v>
      </c>
      <c r="M146" s="58">
        <v>39900</v>
      </c>
      <c r="N146" s="58">
        <v>29659</v>
      </c>
      <c r="O146" s="29">
        <f t="shared" si="10"/>
        <v>884</v>
      </c>
      <c r="P146" s="29">
        <f t="shared" si="11"/>
        <v>832</v>
      </c>
      <c r="Q146" s="30">
        <f t="shared" si="12"/>
        <v>77.98</v>
      </c>
      <c r="R146" s="30">
        <f t="shared" si="13"/>
        <v>84.65</v>
      </c>
      <c r="S146" s="30">
        <f t="shared" si="14"/>
        <v>70.510000000000005</v>
      </c>
    </row>
    <row r="147" spans="1:19" s="5" customFormat="1" ht="15.95" customHeight="1" x14ac:dyDescent="0.25">
      <c r="A147" s="24" t="s">
        <v>55</v>
      </c>
      <c r="B147" s="15" t="s">
        <v>393</v>
      </c>
      <c r="C147" s="56" t="s">
        <v>392</v>
      </c>
      <c r="D147" s="57" t="s">
        <v>391</v>
      </c>
      <c r="E147" s="36" t="s">
        <v>0</v>
      </c>
      <c r="F147" s="58">
        <v>101241</v>
      </c>
      <c r="G147" s="58">
        <v>53507</v>
      </c>
      <c r="H147" s="58">
        <v>47734</v>
      </c>
      <c r="I147" s="58">
        <v>13043</v>
      </c>
      <c r="J147" s="58">
        <v>7139</v>
      </c>
      <c r="K147" s="58">
        <v>5904</v>
      </c>
      <c r="L147" s="58">
        <v>69289</v>
      </c>
      <c r="M147" s="58">
        <v>38933</v>
      </c>
      <c r="N147" s="58">
        <v>30356</v>
      </c>
      <c r="O147" s="29">
        <f t="shared" si="10"/>
        <v>892</v>
      </c>
      <c r="P147" s="29">
        <f t="shared" si="11"/>
        <v>827</v>
      </c>
      <c r="Q147" s="30">
        <f t="shared" si="12"/>
        <v>78.56</v>
      </c>
      <c r="R147" s="30">
        <f t="shared" si="13"/>
        <v>83.97</v>
      </c>
      <c r="S147" s="30">
        <f t="shared" si="14"/>
        <v>72.569999999999993</v>
      </c>
    </row>
    <row r="148" spans="1:19" s="5" customFormat="1" ht="15.95" customHeight="1" x14ac:dyDescent="0.25">
      <c r="A148" s="24" t="s">
        <v>41</v>
      </c>
      <c r="B148" s="15" t="s">
        <v>363</v>
      </c>
      <c r="C148" s="40" t="s">
        <v>37</v>
      </c>
      <c r="D148" s="32" t="s">
        <v>390</v>
      </c>
      <c r="E148" s="27" t="s">
        <v>5</v>
      </c>
      <c r="F148" s="33">
        <v>2046652</v>
      </c>
      <c r="G148" s="33">
        <v>1087864</v>
      </c>
      <c r="H148" s="33">
        <v>958788</v>
      </c>
      <c r="I148" s="33">
        <v>239035</v>
      </c>
      <c r="J148" s="33">
        <v>127866</v>
      </c>
      <c r="K148" s="33">
        <v>111169</v>
      </c>
      <c r="L148" s="33">
        <v>1519295</v>
      </c>
      <c r="M148" s="33">
        <v>839640</v>
      </c>
      <c r="N148" s="33">
        <v>679655</v>
      </c>
      <c r="O148" s="29">
        <f t="shared" si="10"/>
        <v>881</v>
      </c>
      <c r="P148" s="29">
        <f t="shared" si="11"/>
        <v>869</v>
      </c>
      <c r="Q148" s="30">
        <f t="shared" si="12"/>
        <v>84.05</v>
      </c>
      <c r="R148" s="30">
        <f t="shared" si="13"/>
        <v>87.46</v>
      </c>
      <c r="S148" s="30">
        <f t="shared" si="14"/>
        <v>80.180000000000007</v>
      </c>
    </row>
    <row r="149" spans="1:19" s="5" customFormat="1" ht="15.95" customHeight="1" x14ac:dyDescent="0.25">
      <c r="A149" s="24" t="s">
        <v>41</v>
      </c>
      <c r="B149" s="15" t="s">
        <v>363</v>
      </c>
      <c r="C149" s="40" t="s">
        <v>9</v>
      </c>
      <c r="D149" s="32" t="s">
        <v>389</v>
      </c>
      <c r="E149" s="27" t="s">
        <v>5</v>
      </c>
      <c r="F149" s="33">
        <v>470839</v>
      </c>
      <c r="G149" s="33">
        <v>249797</v>
      </c>
      <c r="H149" s="33">
        <v>221042</v>
      </c>
      <c r="I149" s="33">
        <v>59669</v>
      </c>
      <c r="J149" s="33">
        <v>31323</v>
      </c>
      <c r="K149" s="33">
        <v>28346</v>
      </c>
      <c r="L149" s="33">
        <v>351365</v>
      </c>
      <c r="M149" s="33">
        <v>197004</v>
      </c>
      <c r="N149" s="33">
        <v>154361</v>
      </c>
      <c r="O149" s="29">
        <f t="shared" si="10"/>
        <v>885</v>
      </c>
      <c r="P149" s="29">
        <f t="shared" si="11"/>
        <v>905</v>
      </c>
      <c r="Q149" s="30">
        <f t="shared" si="12"/>
        <v>85.45</v>
      </c>
      <c r="R149" s="30">
        <f t="shared" si="13"/>
        <v>90.17</v>
      </c>
      <c r="S149" s="30">
        <f t="shared" si="14"/>
        <v>80.11</v>
      </c>
    </row>
    <row r="150" spans="1:19" s="5" customFormat="1" ht="15.95" customHeight="1" x14ac:dyDescent="0.25">
      <c r="A150" s="24" t="s">
        <v>41</v>
      </c>
      <c r="B150" s="15" t="s">
        <v>363</v>
      </c>
      <c r="C150" s="40" t="s">
        <v>62</v>
      </c>
      <c r="D150" s="32" t="s">
        <v>388</v>
      </c>
      <c r="E150" s="27" t="s">
        <v>5</v>
      </c>
      <c r="F150" s="33">
        <v>410210</v>
      </c>
      <c r="G150" s="33">
        <v>218284</v>
      </c>
      <c r="H150" s="33">
        <v>191926</v>
      </c>
      <c r="I150" s="33">
        <v>55898</v>
      </c>
      <c r="J150" s="33">
        <v>29081</v>
      </c>
      <c r="K150" s="33">
        <v>26817</v>
      </c>
      <c r="L150" s="33">
        <v>286125</v>
      </c>
      <c r="M150" s="33">
        <v>160720</v>
      </c>
      <c r="N150" s="33">
        <v>125405</v>
      </c>
      <c r="O150" s="29">
        <f t="shared" si="10"/>
        <v>879</v>
      </c>
      <c r="P150" s="29">
        <f t="shared" si="11"/>
        <v>922</v>
      </c>
      <c r="Q150" s="30">
        <f t="shared" si="12"/>
        <v>80.760000000000005</v>
      </c>
      <c r="R150" s="30">
        <f t="shared" si="13"/>
        <v>84.95</v>
      </c>
      <c r="S150" s="30">
        <f t="shared" si="14"/>
        <v>75.95</v>
      </c>
    </row>
    <row r="151" spans="1:19" s="5" customFormat="1" ht="15.95" customHeight="1" x14ac:dyDescent="0.25">
      <c r="A151" s="24" t="s">
        <v>41</v>
      </c>
      <c r="B151" s="15" t="s">
        <v>363</v>
      </c>
      <c r="C151" s="40" t="s">
        <v>101</v>
      </c>
      <c r="D151" s="32" t="s">
        <v>387</v>
      </c>
      <c r="E151" s="27" t="s">
        <v>5</v>
      </c>
      <c r="F151" s="33">
        <v>393724</v>
      </c>
      <c r="G151" s="33">
        <v>208509</v>
      </c>
      <c r="H151" s="33">
        <v>185215</v>
      </c>
      <c r="I151" s="33">
        <v>47784</v>
      </c>
      <c r="J151" s="33">
        <v>25300</v>
      </c>
      <c r="K151" s="33">
        <v>22484</v>
      </c>
      <c r="L151" s="33">
        <v>294297</v>
      </c>
      <c r="M151" s="33">
        <v>162629</v>
      </c>
      <c r="N151" s="33">
        <v>131668</v>
      </c>
      <c r="O151" s="29">
        <f t="shared" si="10"/>
        <v>888</v>
      </c>
      <c r="P151" s="29">
        <f t="shared" si="11"/>
        <v>889</v>
      </c>
      <c r="Q151" s="30">
        <f t="shared" si="12"/>
        <v>85.07</v>
      </c>
      <c r="R151" s="30">
        <f t="shared" si="13"/>
        <v>88.77</v>
      </c>
      <c r="S151" s="30">
        <f t="shared" si="14"/>
        <v>80.91</v>
      </c>
    </row>
    <row r="152" spans="1:19" s="5" customFormat="1" ht="15.95" customHeight="1" x14ac:dyDescent="0.25">
      <c r="A152" s="24" t="s">
        <v>41</v>
      </c>
      <c r="B152" s="15" t="s">
        <v>363</v>
      </c>
      <c r="C152" s="40" t="s">
        <v>55</v>
      </c>
      <c r="D152" s="32" t="s">
        <v>386</v>
      </c>
      <c r="E152" s="27" t="s">
        <v>5</v>
      </c>
      <c r="F152" s="33">
        <v>310817</v>
      </c>
      <c r="G152" s="33">
        <v>163892</v>
      </c>
      <c r="H152" s="33">
        <v>146925</v>
      </c>
      <c r="I152" s="33">
        <v>45730</v>
      </c>
      <c r="J152" s="33">
        <v>23519</v>
      </c>
      <c r="K152" s="33">
        <v>22211</v>
      </c>
      <c r="L152" s="33">
        <v>196272</v>
      </c>
      <c r="M152" s="33">
        <v>111028</v>
      </c>
      <c r="N152" s="33">
        <v>85244</v>
      </c>
      <c r="O152" s="29">
        <f t="shared" si="10"/>
        <v>896</v>
      </c>
      <c r="P152" s="29">
        <f t="shared" si="11"/>
        <v>944</v>
      </c>
      <c r="Q152" s="30">
        <f t="shared" si="12"/>
        <v>74.040000000000006</v>
      </c>
      <c r="R152" s="30">
        <f t="shared" si="13"/>
        <v>79.09</v>
      </c>
      <c r="S152" s="30">
        <f t="shared" si="14"/>
        <v>68.349999999999994</v>
      </c>
    </row>
    <row r="153" spans="1:19" s="5" customFormat="1" ht="15.95" customHeight="1" x14ac:dyDescent="0.25">
      <c r="A153" s="24" t="s">
        <v>41</v>
      </c>
      <c r="B153" s="15" t="s">
        <v>363</v>
      </c>
      <c r="C153" s="40" t="s">
        <v>60</v>
      </c>
      <c r="D153" s="32" t="s">
        <v>385</v>
      </c>
      <c r="E153" s="27" t="s">
        <v>5</v>
      </c>
      <c r="F153" s="33">
        <v>306089</v>
      </c>
      <c r="G153" s="33">
        <v>161346</v>
      </c>
      <c r="H153" s="33">
        <v>144743</v>
      </c>
      <c r="I153" s="33">
        <v>42213</v>
      </c>
      <c r="J153" s="33">
        <v>22176</v>
      </c>
      <c r="K153" s="33">
        <v>20037</v>
      </c>
      <c r="L153" s="33">
        <v>213048</v>
      </c>
      <c r="M153" s="33">
        <v>120206</v>
      </c>
      <c r="N153" s="33">
        <v>92842</v>
      </c>
      <c r="O153" s="29">
        <f t="shared" si="10"/>
        <v>897</v>
      </c>
      <c r="P153" s="29">
        <f t="shared" si="11"/>
        <v>904</v>
      </c>
      <c r="Q153" s="30">
        <f t="shared" si="12"/>
        <v>80.739999999999995</v>
      </c>
      <c r="R153" s="30">
        <f t="shared" si="13"/>
        <v>86.37</v>
      </c>
      <c r="S153" s="30">
        <f t="shared" si="14"/>
        <v>74.45</v>
      </c>
    </row>
    <row r="154" spans="1:19" s="5" customFormat="1" ht="15.95" customHeight="1" x14ac:dyDescent="0.25">
      <c r="A154" s="24" t="s">
        <v>41</v>
      </c>
      <c r="B154" s="15" t="s">
        <v>363</v>
      </c>
      <c r="C154" s="40" t="s">
        <v>53</v>
      </c>
      <c r="D154" s="32" t="s">
        <v>384</v>
      </c>
      <c r="E154" s="36" t="s">
        <v>0</v>
      </c>
      <c r="F154" s="33">
        <v>296889</v>
      </c>
      <c r="G154" s="33">
        <v>154915</v>
      </c>
      <c r="H154" s="33">
        <v>141974</v>
      </c>
      <c r="I154" s="33">
        <v>43646</v>
      </c>
      <c r="J154" s="33">
        <v>22758</v>
      </c>
      <c r="K154" s="33">
        <v>20888</v>
      </c>
      <c r="L154" s="33">
        <v>189420</v>
      </c>
      <c r="M154" s="33">
        <v>110247</v>
      </c>
      <c r="N154" s="33">
        <v>79173</v>
      </c>
      <c r="O154" s="29">
        <f t="shared" si="10"/>
        <v>916</v>
      </c>
      <c r="P154" s="29">
        <f t="shared" si="11"/>
        <v>918</v>
      </c>
      <c r="Q154" s="30">
        <f t="shared" si="12"/>
        <v>74.8</v>
      </c>
      <c r="R154" s="30">
        <f t="shared" si="13"/>
        <v>83.42</v>
      </c>
      <c r="S154" s="30">
        <f t="shared" si="14"/>
        <v>65.39</v>
      </c>
    </row>
    <row r="155" spans="1:19" s="5" customFormat="1" ht="15.95" customHeight="1" x14ac:dyDescent="0.25">
      <c r="A155" s="24" t="s">
        <v>41</v>
      </c>
      <c r="B155" s="15" t="s">
        <v>363</v>
      </c>
      <c r="C155" s="40" t="s">
        <v>93</v>
      </c>
      <c r="D155" s="32" t="s">
        <v>383</v>
      </c>
      <c r="E155" s="36" t="s">
        <v>0</v>
      </c>
      <c r="F155" s="33">
        <v>261099</v>
      </c>
      <c r="G155" s="33">
        <v>139319</v>
      </c>
      <c r="H155" s="33">
        <v>121780</v>
      </c>
      <c r="I155" s="33">
        <v>34419</v>
      </c>
      <c r="J155" s="33">
        <v>18356</v>
      </c>
      <c r="K155" s="33">
        <v>16063</v>
      </c>
      <c r="L155" s="33">
        <v>189080</v>
      </c>
      <c r="M155" s="33">
        <v>107822</v>
      </c>
      <c r="N155" s="33">
        <v>81258</v>
      </c>
      <c r="O155" s="29">
        <f t="shared" si="10"/>
        <v>874</v>
      </c>
      <c r="P155" s="29">
        <f t="shared" si="11"/>
        <v>875</v>
      </c>
      <c r="Q155" s="30">
        <f t="shared" si="12"/>
        <v>83.41</v>
      </c>
      <c r="R155" s="30">
        <f t="shared" si="13"/>
        <v>89.14</v>
      </c>
      <c r="S155" s="30">
        <f t="shared" si="14"/>
        <v>76.86</v>
      </c>
    </row>
    <row r="156" spans="1:19" s="5" customFormat="1" ht="15.95" customHeight="1" x14ac:dyDescent="0.25">
      <c r="A156" s="24" t="s">
        <v>41</v>
      </c>
      <c r="B156" s="15" t="s">
        <v>363</v>
      </c>
      <c r="C156" s="40" t="s">
        <v>18</v>
      </c>
      <c r="D156" s="32" t="s">
        <v>382</v>
      </c>
      <c r="E156" s="36" t="s">
        <v>0</v>
      </c>
      <c r="F156" s="33">
        <v>251136</v>
      </c>
      <c r="G156" s="33">
        <v>133931</v>
      </c>
      <c r="H156" s="33">
        <v>117205</v>
      </c>
      <c r="I156" s="33">
        <v>37966</v>
      </c>
      <c r="J156" s="33">
        <v>20012</v>
      </c>
      <c r="K156" s="33">
        <v>17954</v>
      </c>
      <c r="L156" s="33">
        <v>169161</v>
      </c>
      <c r="M156" s="33">
        <v>96459</v>
      </c>
      <c r="N156" s="33">
        <v>72702</v>
      </c>
      <c r="O156" s="29">
        <f t="shared" si="10"/>
        <v>875</v>
      </c>
      <c r="P156" s="29">
        <f t="shared" si="11"/>
        <v>897</v>
      </c>
      <c r="Q156" s="30">
        <f t="shared" si="12"/>
        <v>79.349999999999994</v>
      </c>
      <c r="R156" s="30">
        <f t="shared" si="13"/>
        <v>84.67</v>
      </c>
      <c r="S156" s="30">
        <f t="shared" si="14"/>
        <v>73.25</v>
      </c>
    </row>
    <row r="157" spans="1:19" s="5" customFormat="1" ht="15.95" customHeight="1" x14ac:dyDescent="0.25">
      <c r="A157" s="24" t="s">
        <v>41</v>
      </c>
      <c r="B157" s="15" t="s">
        <v>363</v>
      </c>
      <c r="C157" s="40" t="s">
        <v>41</v>
      </c>
      <c r="D157" s="32" t="s">
        <v>381</v>
      </c>
      <c r="E157" s="27" t="s">
        <v>5</v>
      </c>
      <c r="F157" s="33">
        <v>240565</v>
      </c>
      <c r="G157" s="33">
        <v>126834</v>
      </c>
      <c r="H157" s="33">
        <v>113731</v>
      </c>
      <c r="I157" s="33">
        <v>32824</v>
      </c>
      <c r="J157" s="33">
        <v>16983</v>
      </c>
      <c r="K157" s="33">
        <v>15841</v>
      </c>
      <c r="L157" s="33">
        <v>166388</v>
      </c>
      <c r="M157" s="33">
        <v>93641</v>
      </c>
      <c r="N157" s="33">
        <v>72747</v>
      </c>
      <c r="O157" s="29">
        <f t="shared" si="10"/>
        <v>897</v>
      </c>
      <c r="P157" s="29">
        <f t="shared" si="11"/>
        <v>933</v>
      </c>
      <c r="Q157" s="30">
        <f t="shared" si="12"/>
        <v>80.09</v>
      </c>
      <c r="R157" s="30">
        <f t="shared" si="13"/>
        <v>85.24</v>
      </c>
      <c r="S157" s="30">
        <f t="shared" si="14"/>
        <v>74.319999999999993</v>
      </c>
    </row>
    <row r="158" spans="1:19" s="5" customFormat="1" ht="15.95" customHeight="1" x14ac:dyDescent="0.25">
      <c r="A158" s="24" t="s">
        <v>41</v>
      </c>
      <c r="B158" s="15" t="s">
        <v>363</v>
      </c>
      <c r="C158" s="40" t="s">
        <v>21</v>
      </c>
      <c r="D158" s="32" t="s">
        <v>380</v>
      </c>
      <c r="E158" s="36" t="s">
        <v>0</v>
      </c>
      <c r="F158" s="33">
        <v>213101</v>
      </c>
      <c r="G158" s="33">
        <v>113173</v>
      </c>
      <c r="H158" s="33">
        <v>99928</v>
      </c>
      <c r="I158" s="33">
        <v>29260</v>
      </c>
      <c r="J158" s="33">
        <v>15323</v>
      </c>
      <c r="K158" s="33">
        <v>13937</v>
      </c>
      <c r="L158" s="33">
        <v>150435</v>
      </c>
      <c r="M158" s="33">
        <v>84571</v>
      </c>
      <c r="N158" s="33">
        <v>65864</v>
      </c>
      <c r="O158" s="29">
        <f t="shared" si="10"/>
        <v>883</v>
      </c>
      <c r="P158" s="29">
        <f t="shared" si="11"/>
        <v>910</v>
      </c>
      <c r="Q158" s="30">
        <f t="shared" si="12"/>
        <v>81.83</v>
      </c>
      <c r="R158" s="30">
        <f t="shared" si="13"/>
        <v>86.43</v>
      </c>
      <c r="S158" s="30">
        <f t="shared" si="14"/>
        <v>76.59</v>
      </c>
    </row>
    <row r="159" spans="1:19" s="5" customFormat="1" ht="15.95" customHeight="1" x14ac:dyDescent="0.25">
      <c r="A159" s="24" t="s">
        <v>41</v>
      </c>
      <c r="B159" s="15" t="s">
        <v>363</v>
      </c>
      <c r="C159" s="40" t="s">
        <v>11</v>
      </c>
      <c r="D159" s="32" t="s">
        <v>379</v>
      </c>
      <c r="E159" s="27" t="s">
        <v>5</v>
      </c>
      <c r="F159" s="33">
        <v>212955</v>
      </c>
      <c r="G159" s="33">
        <v>112280</v>
      </c>
      <c r="H159" s="33">
        <v>100675</v>
      </c>
      <c r="I159" s="33">
        <v>29133</v>
      </c>
      <c r="J159" s="33">
        <v>15308</v>
      </c>
      <c r="K159" s="33">
        <v>13825</v>
      </c>
      <c r="L159" s="33">
        <v>148922</v>
      </c>
      <c r="M159" s="33">
        <v>83270</v>
      </c>
      <c r="N159" s="33">
        <v>65652</v>
      </c>
      <c r="O159" s="29">
        <f t="shared" si="10"/>
        <v>897</v>
      </c>
      <c r="P159" s="29">
        <f t="shared" si="11"/>
        <v>903</v>
      </c>
      <c r="Q159" s="30">
        <f t="shared" si="12"/>
        <v>81.010000000000005</v>
      </c>
      <c r="R159" s="30">
        <f t="shared" si="13"/>
        <v>85.87</v>
      </c>
      <c r="S159" s="30">
        <f t="shared" si="14"/>
        <v>75.59</v>
      </c>
    </row>
    <row r="160" spans="1:19" s="5" customFormat="1" ht="15.95" customHeight="1" x14ac:dyDescent="0.25">
      <c r="A160" s="24" t="s">
        <v>41</v>
      </c>
      <c r="B160" s="15" t="s">
        <v>363</v>
      </c>
      <c r="C160" s="40" t="s">
        <v>71</v>
      </c>
      <c r="D160" s="32" t="s">
        <v>378</v>
      </c>
      <c r="E160" s="27" t="s">
        <v>5</v>
      </c>
      <c r="F160" s="59">
        <v>156200</v>
      </c>
      <c r="G160" s="59">
        <v>82663</v>
      </c>
      <c r="H160" s="59">
        <v>73537</v>
      </c>
      <c r="I160" s="59">
        <v>22067</v>
      </c>
      <c r="J160" s="59">
        <v>11653</v>
      </c>
      <c r="K160" s="59">
        <v>10414</v>
      </c>
      <c r="L160" s="59">
        <v>108494</v>
      </c>
      <c r="M160" s="59">
        <v>60463</v>
      </c>
      <c r="N160" s="59">
        <v>48031</v>
      </c>
      <c r="O160" s="29">
        <f t="shared" si="10"/>
        <v>890</v>
      </c>
      <c r="P160" s="29">
        <f t="shared" si="11"/>
        <v>894</v>
      </c>
      <c r="Q160" s="30">
        <f t="shared" si="12"/>
        <v>80.89</v>
      </c>
      <c r="R160" s="30">
        <f t="shared" si="13"/>
        <v>85.15</v>
      </c>
      <c r="S160" s="30">
        <f t="shared" si="14"/>
        <v>76.09</v>
      </c>
    </row>
    <row r="161" spans="1:19" s="5" customFormat="1" ht="15.95" customHeight="1" x14ac:dyDescent="0.25">
      <c r="A161" s="24" t="s">
        <v>41</v>
      </c>
      <c r="B161" s="15" t="s">
        <v>363</v>
      </c>
      <c r="C161" s="40" t="s">
        <v>43</v>
      </c>
      <c r="D161" s="32" t="s">
        <v>377</v>
      </c>
      <c r="E161" s="36" t="s">
        <v>0</v>
      </c>
      <c r="F161" s="33">
        <v>155175</v>
      </c>
      <c r="G161" s="33">
        <v>82589</v>
      </c>
      <c r="H161" s="33">
        <v>72586</v>
      </c>
      <c r="I161" s="33">
        <v>24582</v>
      </c>
      <c r="J161" s="33">
        <v>12814</v>
      </c>
      <c r="K161" s="33">
        <v>11768</v>
      </c>
      <c r="L161" s="33">
        <v>101425</v>
      </c>
      <c r="M161" s="33">
        <v>58689</v>
      </c>
      <c r="N161" s="33">
        <v>42736</v>
      </c>
      <c r="O161" s="29">
        <f t="shared" si="10"/>
        <v>879</v>
      </c>
      <c r="P161" s="29">
        <f t="shared" si="11"/>
        <v>918</v>
      </c>
      <c r="Q161" s="30">
        <f t="shared" si="12"/>
        <v>77.66</v>
      </c>
      <c r="R161" s="30">
        <f t="shared" si="13"/>
        <v>84.11</v>
      </c>
      <c r="S161" s="30">
        <f t="shared" si="14"/>
        <v>70.27</v>
      </c>
    </row>
    <row r="162" spans="1:19" s="5" customFormat="1" ht="15.95" customHeight="1" x14ac:dyDescent="0.25">
      <c r="A162" s="24" t="s">
        <v>41</v>
      </c>
      <c r="B162" s="15" t="s">
        <v>363</v>
      </c>
      <c r="C162" s="40" t="s">
        <v>67</v>
      </c>
      <c r="D162" s="32" t="s">
        <v>376</v>
      </c>
      <c r="E162" s="36" t="s">
        <v>0</v>
      </c>
      <c r="F162" s="33">
        <v>147396</v>
      </c>
      <c r="G162" s="33">
        <v>77687</v>
      </c>
      <c r="H162" s="33">
        <v>69709</v>
      </c>
      <c r="I162" s="33">
        <v>19363</v>
      </c>
      <c r="J162" s="33">
        <v>10189</v>
      </c>
      <c r="K162" s="33">
        <v>9174</v>
      </c>
      <c r="L162" s="33">
        <v>105378</v>
      </c>
      <c r="M162" s="33">
        <v>58900</v>
      </c>
      <c r="N162" s="33">
        <v>46478</v>
      </c>
      <c r="O162" s="29">
        <f t="shared" si="10"/>
        <v>897</v>
      </c>
      <c r="P162" s="29">
        <f t="shared" si="11"/>
        <v>900</v>
      </c>
      <c r="Q162" s="30">
        <f t="shared" si="12"/>
        <v>82.31</v>
      </c>
      <c r="R162" s="30">
        <f t="shared" si="13"/>
        <v>87.26</v>
      </c>
      <c r="S162" s="30">
        <f t="shared" si="14"/>
        <v>76.78</v>
      </c>
    </row>
    <row r="163" spans="1:19" s="5" customFormat="1" ht="15.95" customHeight="1" x14ac:dyDescent="0.25">
      <c r="A163" s="24" t="s">
        <v>41</v>
      </c>
      <c r="B163" s="15" t="s">
        <v>363</v>
      </c>
      <c r="C163" s="40" t="s">
        <v>123</v>
      </c>
      <c r="D163" s="32" t="s">
        <v>375</v>
      </c>
      <c r="E163" s="36" t="s">
        <v>0</v>
      </c>
      <c r="F163" s="33">
        <v>147126</v>
      </c>
      <c r="G163" s="33">
        <v>78561</v>
      </c>
      <c r="H163" s="33">
        <v>68565</v>
      </c>
      <c r="I163" s="33">
        <v>20090</v>
      </c>
      <c r="J163" s="33">
        <v>10694</v>
      </c>
      <c r="K163" s="33">
        <v>9396</v>
      </c>
      <c r="L163" s="33">
        <v>100691</v>
      </c>
      <c r="M163" s="33">
        <v>57537</v>
      </c>
      <c r="N163" s="33">
        <v>43154</v>
      </c>
      <c r="O163" s="29">
        <f t="shared" si="10"/>
        <v>873</v>
      </c>
      <c r="P163" s="29">
        <f t="shared" si="11"/>
        <v>879</v>
      </c>
      <c r="Q163" s="30">
        <f t="shared" si="12"/>
        <v>79.260000000000005</v>
      </c>
      <c r="R163" s="30">
        <f t="shared" si="13"/>
        <v>84.78</v>
      </c>
      <c r="S163" s="30">
        <f t="shared" si="14"/>
        <v>72.930000000000007</v>
      </c>
    </row>
    <row r="164" spans="1:19" s="5" customFormat="1" ht="15.95" customHeight="1" x14ac:dyDescent="0.25">
      <c r="A164" s="24" t="s">
        <v>41</v>
      </c>
      <c r="B164" s="15" t="s">
        <v>363</v>
      </c>
      <c r="C164" s="40" t="s">
        <v>67</v>
      </c>
      <c r="D164" s="32" t="s">
        <v>374</v>
      </c>
      <c r="E164" s="36" t="s">
        <v>0</v>
      </c>
      <c r="F164" s="33">
        <v>137068</v>
      </c>
      <c r="G164" s="33">
        <v>72311</v>
      </c>
      <c r="H164" s="33">
        <v>64757</v>
      </c>
      <c r="I164" s="33">
        <v>18372</v>
      </c>
      <c r="J164" s="33">
        <v>9570</v>
      </c>
      <c r="K164" s="33">
        <v>8802</v>
      </c>
      <c r="L164" s="33">
        <v>98968</v>
      </c>
      <c r="M164" s="33">
        <v>56416</v>
      </c>
      <c r="N164" s="33">
        <v>42552</v>
      </c>
      <c r="O164" s="29">
        <f t="shared" si="10"/>
        <v>896</v>
      </c>
      <c r="P164" s="29">
        <f t="shared" si="11"/>
        <v>920</v>
      </c>
      <c r="Q164" s="30">
        <f t="shared" si="12"/>
        <v>83.38</v>
      </c>
      <c r="R164" s="30">
        <f t="shared" si="13"/>
        <v>89.92</v>
      </c>
      <c r="S164" s="30">
        <f t="shared" si="14"/>
        <v>76.05</v>
      </c>
    </row>
    <row r="165" spans="1:19" s="5" customFormat="1" ht="15.95" customHeight="1" x14ac:dyDescent="0.25">
      <c r="A165" s="24" t="s">
        <v>41</v>
      </c>
      <c r="B165" s="15" t="s">
        <v>363</v>
      </c>
      <c r="C165" s="40" t="s">
        <v>29</v>
      </c>
      <c r="D165" s="32" t="s">
        <v>373</v>
      </c>
      <c r="E165" s="36" t="s">
        <v>0</v>
      </c>
      <c r="F165" s="33">
        <v>134458</v>
      </c>
      <c r="G165" s="33">
        <v>70670</v>
      </c>
      <c r="H165" s="33">
        <v>63788</v>
      </c>
      <c r="I165" s="33">
        <v>17632</v>
      </c>
      <c r="J165" s="33">
        <v>9440</v>
      </c>
      <c r="K165" s="33">
        <v>8192</v>
      </c>
      <c r="L165" s="33">
        <v>98898</v>
      </c>
      <c r="M165" s="33">
        <v>56152</v>
      </c>
      <c r="N165" s="33">
        <v>42746</v>
      </c>
      <c r="O165" s="29">
        <f t="shared" si="10"/>
        <v>903</v>
      </c>
      <c r="P165" s="29">
        <f t="shared" si="11"/>
        <v>868</v>
      </c>
      <c r="Q165" s="30">
        <f t="shared" si="12"/>
        <v>84.65</v>
      </c>
      <c r="R165" s="30">
        <f t="shared" si="13"/>
        <v>91.71</v>
      </c>
      <c r="S165" s="30">
        <f t="shared" si="14"/>
        <v>76.89</v>
      </c>
    </row>
    <row r="166" spans="1:19" s="5" customFormat="1" ht="15.95" customHeight="1" x14ac:dyDescent="0.25">
      <c r="A166" s="24" t="s">
        <v>41</v>
      </c>
      <c r="B166" s="15" t="s">
        <v>363</v>
      </c>
      <c r="C166" s="40" t="s">
        <v>7</v>
      </c>
      <c r="D166" s="32" t="s">
        <v>372</v>
      </c>
      <c r="E166" s="36" t="s">
        <v>0</v>
      </c>
      <c r="F166" s="33">
        <v>125183</v>
      </c>
      <c r="G166" s="33">
        <v>67438</v>
      </c>
      <c r="H166" s="33">
        <v>57745</v>
      </c>
      <c r="I166" s="33">
        <v>16325</v>
      </c>
      <c r="J166" s="33">
        <v>8891</v>
      </c>
      <c r="K166" s="33">
        <v>7434</v>
      </c>
      <c r="L166" s="33">
        <v>94926</v>
      </c>
      <c r="M166" s="33">
        <v>52904</v>
      </c>
      <c r="N166" s="33">
        <v>42022</v>
      </c>
      <c r="O166" s="29">
        <f t="shared" si="10"/>
        <v>856</v>
      </c>
      <c r="P166" s="29">
        <f t="shared" si="11"/>
        <v>836</v>
      </c>
      <c r="Q166" s="30">
        <f t="shared" si="12"/>
        <v>87.2</v>
      </c>
      <c r="R166" s="30">
        <f t="shared" si="13"/>
        <v>90.36</v>
      </c>
      <c r="S166" s="30">
        <f t="shared" si="14"/>
        <v>83.52</v>
      </c>
    </row>
    <row r="167" spans="1:19" s="5" customFormat="1" ht="15.95" customHeight="1" x14ac:dyDescent="0.25">
      <c r="A167" s="24" t="s">
        <v>41</v>
      </c>
      <c r="B167" s="15" t="s">
        <v>363</v>
      </c>
      <c r="C167" s="40" t="s">
        <v>4</v>
      </c>
      <c r="D167" s="32" t="s">
        <v>371</v>
      </c>
      <c r="E167" s="27" t="s">
        <v>5</v>
      </c>
      <c r="F167" s="33">
        <v>118820</v>
      </c>
      <c r="G167" s="33">
        <v>62361</v>
      </c>
      <c r="H167" s="33">
        <v>56459</v>
      </c>
      <c r="I167" s="33">
        <v>16475</v>
      </c>
      <c r="J167" s="33">
        <v>8453</v>
      </c>
      <c r="K167" s="33">
        <v>8022</v>
      </c>
      <c r="L167" s="33">
        <v>83715</v>
      </c>
      <c r="M167" s="33">
        <v>46497</v>
      </c>
      <c r="N167" s="33">
        <v>37218</v>
      </c>
      <c r="O167" s="29">
        <f t="shared" si="10"/>
        <v>905</v>
      </c>
      <c r="P167" s="29">
        <f t="shared" si="11"/>
        <v>949</v>
      </c>
      <c r="Q167" s="30">
        <f t="shared" si="12"/>
        <v>81.8</v>
      </c>
      <c r="R167" s="30">
        <f t="shared" si="13"/>
        <v>86.25</v>
      </c>
      <c r="S167" s="30">
        <f t="shared" si="14"/>
        <v>76.84</v>
      </c>
    </row>
    <row r="168" spans="1:19" s="5" customFormat="1" ht="15.95" customHeight="1" x14ac:dyDescent="0.25">
      <c r="A168" s="24" t="s">
        <v>41</v>
      </c>
      <c r="B168" s="15" t="s">
        <v>363</v>
      </c>
      <c r="C168" s="40" t="s">
        <v>71</v>
      </c>
      <c r="D168" s="32" t="s">
        <v>370</v>
      </c>
      <c r="E168" s="36" t="s">
        <v>0</v>
      </c>
      <c r="F168" s="59">
        <v>113012</v>
      </c>
      <c r="G168" s="59">
        <v>59946</v>
      </c>
      <c r="H168" s="59">
        <v>53066</v>
      </c>
      <c r="I168" s="59">
        <v>19070</v>
      </c>
      <c r="J168" s="59">
        <v>9802</v>
      </c>
      <c r="K168" s="59">
        <v>9268</v>
      </c>
      <c r="L168" s="59">
        <v>56998</v>
      </c>
      <c r="M168" s="59">
        <v>34751</v>
      </c>
      <c r="N168" s="59">
        <v>22247</v>
      </c>
      <c r="O168" s="29">
        <f t="shared" si="10"/>
        <v>885</v>
      </c>
      <c r="P168" s="29">
        <f t="shared" si="11"/>
        <v>946</v>
      </c>
      <c r="Q168" s="30">
        <f t="shared" si="12"/>
        <v>60.67</v>
      </c>
      <c r="R168" s="30">
        <f t="shared" si="13"/>
        <v>69.3</v>
      </c>
      <c r="S168" s="30">
        <f t="shared" si="14"/>
        <v>50.79</v>
      </c>
    </row>
    <row r="169" spans="1:19" s="5" customFormat="1" ht="15.95" customHeight="1" x14ac:dyDescent="0.25">
      <c r="A169" s="24" t="s">
        <v>41</v>
      </c>
      <c r="B169" s="15" t="s">
        <v>363</v>
      </c>
      <c r="C169" s="40" t="s">
        <v>39</v>
      </c>
      <c r="D169" s="32" t="s">
        <v>369</v>
      </c>
      <c r="E169" s="27" t="s">
        <v>5</v>
      </c>
      <c r="F169" s="33">
        <v>110608</v>
      </c>
      <c r="G169" s="33">
        <v>58228</v>
      </c>
      <c r="H169" s="33">
        <v>52380</v>
      </c>
      <c r="I169" s="33">
        <v>14938</v>
      </c>
      <c r="J169" s="33">
        <v>7904</v>
      </c>
      <c r="K169" s="33">
        <v>7034</v>
      </c>
      <c r="L169" s="33">
        <v>80747</v>
      </c>
      <c r="M169" s="33">
        <v>45435</v>
      </c>
      <c r="N169" s="33">
        <v>35312</v>
      </c>
      <c r="O169" s="29">
        <f t="shared" si="10"/>
        <v>900</v>
      </c>
      <c r="P169" s="29">
        <f t="shared" si="11"/>
        <v>890</v>
      </c>
      <c r="Q169" s="30">
        <f t="shared" si="12"/>
        <v>84.4</v>
      </c>
      <c r="R169" s="30">
        <f t="shared" si="13"/>
        <v>90.28</v>
      </c>
      <c r="S169" s="30">
        <f t="shared" si="14"/>
        <v>77.87</v>
      </c>
    </row>
    <row r="170" spans="1:19" s="5" customFormat="1" ht="15.95" customHeight="1" x14ac:dyDescent="0.25">
      <c r="A170" s="24" t="s">
        <v>41</v>
      </c>
      <c r="B170" s="15" t="s">
        <v>363</v>
      </c>
      <c r="C170" s="40" t="s">
        <v>34</v>
      </c>
      <c r="D170" s="32" t="s">
        <v>368</v>
      </c>
      <c r="E170" s="36" t="s">
        <v>0</v>
      </c>
      <c r="F170" s="33">
        <v>107076</v>
      </c>
      <c r="G170" s="33">
        <v>55688</v>
      </c>
      <c r="H170" s="33">
        <v>51388</v>
      </c>
      <c r="I170" s="33">
        <v>17017</v>
      </c>
      <c r="J170" s="33">
        <v>8743</v>
      </c>
      <c r="K170" s="33">
        <v>8274</v>
      </c>
      <c r="L170" s="33">
        <v>67286</v>
      </c>
      <c r="M170" s="33">
        <v>37482</v>
      </c>
      <c r="N170" s="33">
        <v>29804</v>
      </c>
      <c r="O170" s="29">
        <f t="shared" si="10"/>
        <v>923</v>
      </c>
      <c r="P170" s="29">
        <f t="shared" si="11"/>
        <v>946</v>
      </c>
      <c r="Q170" s="30">
        <f t="shared" si="12"/>
        <v>74.709999999999994</v>
      </c>
      <c r="R170" s="30">
        <f t="shared" si="13"/>
        <v>79.84</v>
      </c>
      <c r="S170" s="30">
        <f t="shared" si="14"/>
        <v>69.13</v>
      </c>
    </row>
    <row r="171" spans="1:19" s="5" customFormat="1" ht="15.95" customHeight="1" x14ac:dyDescent="0.25">
      <c r="A171" s="24" t="s">
        <v>41</v>
      </c>
      <c r="B171" s="15" t="s">
        <v>363</v>
      </c>
      <c r="C171" s="40" t="s">
        <v>15</v>
      </c>
      <c r="D171" s="32" t="s">
        <v>367</v>
      </c>
      <c r="E171" s="27" t="s">
        <v>5</v>
      </c>
      <c r="F171" s="33">
        <v>105924</v>
      </c>
      <c r="G171" s="33">
        <v>56526</v>
      </c>
      <c r="H171" s="33">
        <v>49398</v>
      </c>
      <c r="I171" s="33">
        <v>15032</v>
      </c>
      <c r="J171" s="33">
        <v>8050</v>
      </c>
      <c r="K171" s="33">
        <v>6982</v>
      </c>
      <c r="L171" s="33">
        <v>71709</v>
      </c>
      <c r="M171" s="33">
        <v>40592</v>
      </c>
      <c r="N171" s="33">
        <v>31117</v>
      </c>
      <c r="O171" s="29">
        <f t="shared" si="10"/>
        <v>874</v>
      </c>
      <c r="P171" s="29">
        <f t="shared" si="11"/>
        <v>867</v>
      </c>
      <c r="Q171" s="30">
        <f t="shared" si="12"/>
        <v>78.89</v>
      </c>
      <c r="R171" s="30">
        <f t="shared" si="13"/>
        <v>83.74</v>
      </c>
      <c r="S171" s="30">
        <f t="shared" si="14"/>
        <v>73.36</v>
      </c>
    </row>
    <row r="172" spans="1:19" s="5" customFormat="1" ht="15.95" customHeight="1" x14ac:dyDescent="0.25">
      <c r="A172" s="24" t="s">
        <v>41</v>
      </c>
      <c r="B172" s="15" t="s">
        <v>363</v>
      </c>
      <c r="C172" s="40" t="s">
        <v>21</v>
      </c>
      <c r="D172" s="32" t="s">
        <v>366</v>
      </c>
      <c r="E172" s="36" t="s">
        <v>0</v>
      </c>
      <c r="F172" s="33">
        <v>105221</v>
      </c>
      <c r="G172" s="33">
        <v>56231</v>
      </c>
      <c r="H172" s="33">
        <v>48990</v>
      </c>
      <c r="I172" s="33">
        <v>12298</v>
      </c>
      <c r="J172" s="33">
        <v>6587</v>
      </c>
      <c r="K172" s="33">
        <v>5711</v>
      </c>
      <c r="L172" s="33">
        <v>81192</v>
      </c>
      <c r="M172" s="33">
        <v>45961</v>
      </c>
      <c r="N172" s="33">
        <v>35231</v>
      </c>
      <c r="O172" s="29">
        <f t="shared" si="10"/>
        <v>871</v>
      </c>
      <c r="P172" s="29">
        <f t="shared" si="11"/>
        <v>867</v>
      </c>
      <c r="Q172" s="30">
        <f t="shared" si="12"/>
        <v>87.38</v>
      </c>
      <c r="R172" s="30">
        <f t="shared" si="13"/>
        <v>92.58</v>
      </c>
      <c r="S172" s="30">
        <f t="shared" si="14"/>
        <v>81.400000000000006</v>
      </c>
    </row>
    <row r="173" spans="1:19" s="5" customFormat="1" ht="15.95" customHeight="1" x14ac:dyDescent="0.25">
      <c r="A173" s="24" t="s">
        <v>41</v>
      </c>
      <c r="B173" s="15" t="s">
        <v>363</v>
      </c>
      <c r="C173" s="40" t="s">
        <v>365</v>
      </c>
      <c r="D173" s="32" t="s">
        <v>364</v>
      </c>
      <c r="E173" s="36" t="s">
        <v>0</v>
      </c>
      <c r="F173" s="33">
        <v>102456</v>
      </c>
      <c r="G173" s="33">
        <v>54868</v>
      </c>
      <c r="H173" s="33">
        <v>47588</v>
      </c>
      <c r="I173" s="33">
        <v>14516</v>
      </c>
      <c r="J173" s="33">
        <v>7706</v>
      </c>
      <c r="K173" s="33">
        <v>6810</v>
      </c>
      <c r="L173" s="33">
        <v>70052</v>
      </c>
      <c r="M173" s="33">
        <v>39889</v>
      </c>
      <c r="N173" s="33">
        <v>30163</v>
      </c>
      <c r="O173" s="29">
        <f t="shared" si="10"/>
        <v>867</v>
      </c>
      <c r="P173" s="29">
        <f t="shared" si="11"/>
        <v>884</v>
      </c>
      <c r="Q173" s="30">
        <f t="shared" si="12"/>
        <v>79.66</v>
      </c>
      <c r="R173" s="30">
        <f t="shared" si="13"/>
        <v>84.58</v>
      </c>
      <c r="S173" s="30">
        <f t="shared" si="14"/>
        <v>73.97</v>
      </c>
    </row>
    <row r="174" spans="1:19" s="5" customFormat="1" ht="15.95" customHeight="1" x14ac:dyDescent="0.25">
      <c r="A174" s="24" t="s">
        <v>41</v>
      </c>
      <c r="B174" s="15" t="s">
        <v>363</v>
      </c>
      <c r="C174" s="40" t="s">
        <v>13</v>
      </c>
      <c r="D174" s="32" t="s">
        <v>362</v>
      </c>
      <c r="E174" s="36" t="s">
        <v>0</v>
      </c>
      <c r="F174" s="33">
        <v>101520</v>
      </c>
      <c r="G174" s="33">
        <v>53307</v>
      </c>
      <c r="H174" s="33">
        <v>48213</v>
      </c>
      <c r="I174" s="33">
        <v>14292</v>
      </c>
      <c r="J174" s="33">
        <v>7548</v>
      </c>
      <c r="K174" s="33">
        <v>6744</v>
      </c>
      <c r="L174" s="33">
        <v>75796</v>
      </c>
      <c r="M174" s="33">
        <v>42338</v>
      </c>
      <c r="N174" s="33">
        <v>33458</v>
      </c>
      <c r="O174" s="29">
        <f t="shared" si="10"/>
        <v>904</v>
      </c>
      <c r="P174" s="29">
        <f t="shared" si="11"/>
        <v>893</v>
      </c>
      <c r="Q174" s="30">
        <f t="shared" si="12"/>
        <v>86.89</v>
      </c>
      <c r="R174" s="30">
        <f t="shared" si="13"/>
        <v>92.52</v>
      </c>
      <c r="S174" s="30">
        <f t="shared" si="14"/>
        <v>80.680000000000007</v>
      </c>
    </row>
    <row r="175" spans="1:19" s="5" customFormat="1" ht="15.95" customHeight="1" x14ac:dyDescent="0.25">
      <c r="A175" s="24" t="s">
        <v>60</v>
      </c>
      <c r="B175" s="16" t="s">
        <v>361</v>
      </c>
      <c r="C175" s="39" t="s">
        <v>25</v>
      </c>
      <c r="D175" s="26" t="s">
        <v>360</v>
      </c>
      <c r="E175" s="36" t="s">
        <v>0</v>
      </c>
      <c r="F175" s="28">
        <v>123777</v>
      </c>
      <c r="G175" s="28">
        <v>65017</v>
      </c>
      <c r="H175" s="28">
        <v>58760</v>
      </c>
      <c r="I175" s="28">
        <v>14438</v>
      </c>
      <c r="J175" s="28">
        <v>7345</v>
      </c>
      <c r="K175" s="28">
        <v>7093</v>
      </c>
      <c r="L175" s="28">
        <v>95646</v>
      </c>
      <c r="M175" s="28">
        <v>51604</v>
      </c>
      <c r="N175" s="28">
        <v>44042</v>
      </c>
      <c r="O175" s="29">
        <f t="shared" si="10"/>
        <v>904</v>
      </c>
      <c r="P175" s="29">
        <f t="shared" si="11"/>
        <v>966</v>
      </c>
      <c r="Q175" s="30">
        <f t="shared" si="12"/>
        <v>87.48</v>
      </c>
      <c r="R175" s="30">
        <f t="shared" si="13"/>
        <v>89.48</v>
      </c>
      <c r="S175" s="30">
        <f t="shared" si="14"/>
        <v>85.24</v>
      </c>
    </row>
    <row r="176" spans="1:19" s="5" customFormat="1" ht="15.95" customHeight="1" x14ac:dyDescent="0.25">
      <c r="A176" s="24" t="s">
        <v>101</v>
      </c>
      <c r="B176" s="15" t="s">
        <v>359</v>
      </c>
      <c r="C176" s="40">
        <v>99</v>
      </c>
      <c r="D176" s="32" t="s">
        <v>358</v>
      </c>
      <c r="E176" s="27" t="s">
        <v>5</v>
      </c>
      <c r="F176" s="47">
        <v>414288</v>
      </c>
      <c r="G176" s="47">
        <v>201635</v>
      </c>
      <c r="H176" s="47">
        <v>212653</v>
      </c>
      <c r="I176" s="47">
        <v>43917</v>
      </c>
      <c r="J176" s="47">
        <v>22542</v>
      </c>
      <c r="K176" s="47">
        <v>21375</v>
      </c>
      <c r="L176" s="47">
        <v>333588</v>
      </c>
      <c r="M176" s="47">
        <v>170395</v>
      </c>
      <c r="N176" s="47">
        <v>163193</v>
      </c>
      <c r="O176" s="29">
        <f t="shared" si="10"/>
        <v>1055</v>
      </c>
      <c r="P176" s="29">
        <f t="shared" si="11"/>
        <v>948</v>
      </c>
      <c r="Q176" s="30">
        <f t="shared" si="12"/>
        <v>90.07</v>
      </c>
      <c r="R176" s="30">
        <f t="shared" si="13"/>
        <v>95.14</v>
      </c>
      <c r="S176" s="30">
        <f t="shared" si="14"/>
        <v>85.32</v>
      </c>
    </row>
    <row r="177" spans="1:19" s="5" customFormat="1" ht="15.95" customHeight="1" x14ac:dyDescent="0.25">
      <c r="A177" s="24" t="s">
        <v>103</v>
      </c>
      <c r="B177" s="17" t="s">
        <v>357</v>
      </c>
      <c r="C177" s="60" t="s">
        <v>2</v>
      </c>
      <c r="D177" s="41" t="s">
        <v>356</v>
      </c>
      <c r="E177" s="36" t="s">
        <v>0</v>
      </c>
      <c r="F177" s="42">
        <v>291822</v>
      </c>
      <c r="G177" s="42">
        <v>143803</v>
      </c>
      <c r="H177" s="42">
        <v>148019</v>
      </c>
      <c r="I177" s="42">
        <v>35147</v>
      </c>
      <c r="J177" s="42">
        <v>17667</v>
      </c>
      <c r="K177" s="42">
        <v>17480</v>
      </c>
      <c r="L177" s="42">
        <v>253588</v>
      </c>
      <c r="M177" s="42">
        <v>125256</v>
      </c>
      <c r="N177" s="42">
        <v>128332</v>
      </c>
      <c r="O177" s="29">
        <f t="shared" si="10"/>
        <v>1029</v>
      </c>
      <c r="P177" s="29">
        <f t="shared" si="11"/>
        <v>989</v>
      </c>
      <c r="Q177" s="30">
        <f t="shared" si="12"/>
        <v>98.8</v>
      </c>
      <c r="R177" s="30">
        <f t="shared" si="13"/>
        <v>99.3</v>
      </c>
      <c r="S177" s="30">
        <f t="shared" si="14"/>
        <v>98.31</v>
      </c>
    </row>
    <row r="178" spans="1:19" s="5" customFormat="1" ht="15.95" customHeight="1" x14ac:dyDescent="0.25">
      <c r="A178" s="24" t="s">
        <v>29</v>
      </c>
      <c r="B178" s="17" t="s">
        <v>355</v>
      </c>
      <c r="C178" s="40" t="s">
        <v>71</v>
      </c>
      <c r="D178" s="32" t="s">
        <v>354</v>
      </c>
      <c r="E178" s="36" t="s">
        <v>0</v>
      </c>
      <c r="F178" s="33">
        <v>399688</v>
      </c>
      <c r="G178" s="33">
        <v>199616</v>
      </c>
      <c r="H178" s="33">
        <v>200072</v>
      </c>
      <c r="I178" s="33">
        <v>33635</v>
      </c>
      <c r="J178" s="33">
        <v>17341</v>
      </c>
      <c r="K178" s="33">
        <v>16294</v>
      </c>
      <c r="L178" s="33">
        <v>343633</v>
      </c>
      <c r="M178" s="33">
        <v>174524</v>
      </c>
      <c r="N178" s="33">
        <v>169109</v>
      </c>
      <c r="O178" s="29">
        <f t="shared" si="10"/>
        <v>1002</v>
      </c>
      <c r="P178" s="29">
        <f t="shared" si="11"/>
        <v>940</v>
      </c>
      <c r="Q178" s="30">
        <f t="shared" si="12"/>
        <v>93.88</v>
      </c>
      <c r="R178" s="30">
        <f t="shared" si="13"/>
        <v>95.75</v>
      </c>
      <c r="S178" s="30">
        <f t="shared" si="14"/>
        <v>92.02</v>
      </c>
    </row>
    <row r="179" spans="1:19" s="5" customFormat="1" ht="15.95" customHeight="1" x14ac:dyDescent="0.25">
      <c r="A179" s="24" t="s">
        <v>11</v>
      </c>
      <c r="B179" s="15" t="s">
        <v>353</v>
      </c>
      <c r="C179" s="40" t="s">
        <v>74</v>
      </c>
      <c r="D179" s="32" t="s">
        <v>352</v>
      </c>
      <c r="E179" s="27" t="s">
        <v>5</v>
      </c>
      <c r="F179" s="33">
        <v>354325</v>
      </c>
      <c r="G179" s="33">
        <v>176591</v>
      </c>
      <c r="H179" s="33">
        <v>177734</v>
      </c>
      <c r="I179" s="33">
        <v>40494</v>
      </c>
      <c r="J179" s="33">
        <v>20941</v>
      </c>
      <c r="K179" s="33">
        <v>19553</v>
      </c>
      <c r="L179" s="33">
        <v>287141</v>
      </c>
      <c r="M179" s="33">
        <v>145730</v>
      </c>
      <c r="N179" s="33">
        <v>141411</v>
      </c>
      <c r="O179" s="29">
        <f t="shared" si="10"/>
        <v>1006</v>
      </c>
      <c r="P179" s="29">
        <f t="shared" si="11"/>
        <v>934</v>
      </c>
      <c r="Q179" s="30">
        <f t="shared" si="12"/>
        <v>91.5</v>
      </c>
      <c r="R179" s="30">
        <f t="shared" si="13"/>
        <v>93.63</v>
      </c>
      <c r="S179" s="30">
        <f t="shared" si="14"/>
        <v>89.4</v>
      </c>
    </row>
    <row r="180" spans="1:19" s="5" customFormat="1" ht="15.95" customHeight="1" x14ac:dyDescent="0.25">
      <c r="A180" s="24" t="s">
        <v>123</v>
      </c>
      <c r="B180" s="15" t="s">
        <v>345</v>
      </c>
      <c r="C180" s="55" t="s">
        <v>121</v>
      </c>
      <c r="D180" s="41" t="s">
        <v>351</v>
      </c>
      <c r="E180" s="27" t="s">
        <v>5</v>
      </c>
      <c r="F180" s="28">
        <v>968549</v>
      </c>
      <c r="G180" s="28">
        <v>505542</v>
      </c>
      <c r="H180" s="28">
        <v>463007</v>
      </c>
      <c r="I180" s="28">
        <v>87366</v>
      </c>
      <c r="J180" s="28">
        <v>43537</v>
      </c>
      <c r="K180" s="28">
        <v>43829</v>
      </c>
      <c r="L180" s="28">
        <v>802946</v>
      </c>
      <c r="M180" s="28">
        <v>429099</v>
      </c>
      <c r="N180" s="28">
        <v>373847</v>
      </c>
      <c r="O180" s="29">
        <f t="shared" si="10"/>
        <v>916</v>
      </c>
      <c r="P180" s="29">
        <f t="shared" si="11"/>
        <v>1007</v>
      </c>
      <c r="Q180" s="30">
        <f t="shared" si="12"/>
        <v>91.12</v>
      </c>
      <c r="R180" s="30">
        <f t="shared" si="13"/>
        <v>92.88</v>
      </c>
      <c r="S180" s="30">
        <f t="shared" si="14"/>
        <v>89.19</v>
      </c>
    </row>
    <row r="181" spans="1:19" s="5" customFormat="1" ht="15.95" customHeight="1" x14ac:dyDescent="0.25">
      <c r="A181" s="24" t="s">
        <v>123</v>
      </c>
      <c r="B181" s="15" t="s">
        <v>345</v>
      </c>
      <c r="C181" s="55" t="s">
        <v>11</v>
      </c>
      <c r="D181" s="41" t="s">
        <v>350</v>
      </c>
      <c r="E181" s="27" t="s">
        <v>5</v>
      </c>
      <c r="F181" s="28">
        <v>228985</v>
      </c>
      <c r="G181" s="28">
        <v>115443</v>
      </c>
      <c r="H181" s="28">
        <v>113542</v>
      </c>
      <c r="I181" s="28">
        <v>21841</v>
      </c>
      <c r="J181" s="28">
        <v>11212</v>
      </c>
      <c r="K181" s="28">
        <v>10629</v>
      </c>
      <c r="L181" s="28">
        <v>188609</v>
      </c>
      <c r="M181" s="28">
        <v>97589</v>
      </c>
      <c r="N181" s="28">
        <v>91020</v>
      </c>
      <c r="O181" s="29">
        <f t="shared" si="10"/>
        <v>984</v>
      </c>
      <c r="P181" s="29">
        <f t="shared" si="11"/>
        <v>948</v>
      </c>
      <c r="Q181" s="30">
        <f t="shared" si="12"/>
        <v>91.05</v>
      </c>
      <c r="R181" s="30">
        <f t="shared" si="13"/>
        <v>93.63</v>
      </c>
      <c r="S181" s="30">
        <f t="shared" si="14"/>
        <v>88.44</v>
      </c>
    </row>
    <row r="182" spans="1:19" s="5" customFormat="1" ht="15.95" customHeight="1" x14ac:dyDescent="0.25">
      <c r="A182" s="24" t="s">
        <v>123</v>
      </c>
      <c r="B182" s="15" t="s">
        <v>345</v>
      </c>
      <c r="C182" s="55" t="s">
        <v>48</v>
      </c>
      <c r="D182" s="41" t="s">
        <v>349</v>
      </c>
      <c r="E182" s="27" t="s">
        <v>5</v>
      </c>
      <c r="F182" s="28">
        <v>154019</v>
      </c>
      <c r="G182" s="28">
        <v>79743</v>
      </c>
      <c r="H182" s="28">
        <v>74276</v>
      </c>
      <c r="I182" s="28">
        <v>13303</v>
      </c>
      <c r="J182" s="28">
        <v>6829</v>
      </c>
      <c r="K182" s="28">
        <v>6474</v>
      </c>
      <c r="L182" s="28">
        <v>126297</v>
      </c>
      <c r="M182" s="28">
        <v>67266</v>
      </c>
      <c r="N182" s="28">
        <v>59031</v>
      </c>
      <c r="O182" s="29">
        <f t="shared" si="10"/>
        <v>931</v>
      </c>
      <c r="P182" s="29">
        <f t="shared" si="11"/>
        <v>948</v>
      </c>
      <c r="Q182" s="30">
        <f t="shared" si="12"/>
        <v>89.75</v>
      </c>
      <c r="R182" s="30">
        <f t="shared" si="13"/>
        <v>92.25</v>
      </c>
      <c r="S182" s="30">
        <f t="shared" si="14"/>
        <v>87.06</v>
      </c>
    </row>
    <row r="183" spans="1:19" s="5" customFormat="1" ht="15.95" customHeight="1" x14ac:dyDescent="0.25">
      <c r="A183" s="24" t="s">
        <v>123</v>
      </c>
      <c r="B183" s="15" t="s">
        <v>345</v>
      </c>
      <c r="C183" s="55" t="s">
        <v>60</v>
      </c>
      <c r="D183" s="41" t="s">
        <v>348</v>
      </c>
      <c r="E183" s="27" t="s">
        <v>5</v>
      </c>
      <c r="F183" s="28">
        <v>153249</v>
      </c>
      <c r="G183" s="28">
        <v>79348</v>
      </c>
      <c r="H183" s="28">
        <v>73901</v>
      </c>
      <c r="I183" s="28">
        <v>13757</v>
      </c>
      <c r="J183" s="28">
        <v>7076</v>
      </c>
      <c r="K183" s="28">
        <v>6681</v>
      </c>
      <c r="L183" s="28">
        <v>127192</v>
      </c>
      <c r="M183" s="28">
        <v>67429</v>
      </c>
      <c r="N183" s="28">
        <v>59763</v>
      </c>
      <c r="O183" s="29">
        <f t="shared" si="10"/>
        <v>931</v>
      </c>
      <c r="P183" s="29">
        <f t="shared" si="11"/>
        <v>944</v>
      </c>
      <c r="Q183" s="30">
        <f t="shared" si="12"/>
        <v>91.18</v>
      </c>
      <c r="R183" s="30">
        <f t="shared" si="13"/>
        <v>93.3</v>
      </c>
      <c r="S183" s="30">
        <f t="shared" si="14"/>
        <v>88.91</v>
      </c>
    </row>
    <row r="184" spans="1:19" s="5" customFormat="1" ht="15.95" customHeight="1" x14ac:dyDescent="0.25">
      <c r="A184" s="24" t="s">
        <v>123</v>
      </c>
      <c r="B184" s="15" t="s">
        <v>345</v>
      </c>
      <c r="C184" s="55" t="s">
        <v>74</v>
      </c>
      <c r="D184" s="41" t="s">
        <v>347</v>
      </c>
      <c r="E184" s="27" t="s">
        <v>5</v>
      </c>
      <c r="F184" s="28">
        <v>147137</v>
      </c>
      <c r="G184" s="28">
        <v>74824</v>
      </c>
      <c r="H184" s="28">
        <v>72313</v>
      </c>
      <c r="I184" s="28">
        <v>15117</v>
      </c>
      <c r="J184" s="28">
        <v>7555</v>
      </c>
      <c r="K184" s="28">
        <v>7562</v>
      </c>
      <c r="L184" s="28">
        <v>119907</v>
      </c>
      <c r="M184" s="28">
        <v>64320</v>
      </c>
      <c r="N184" s="28">
        <v>55587</v>
      </c>
      <c r="O184" s="29">
        <f t="shared" si="10"/>
        <v>966</v>
      </c>
      <c r="P184" s="29">
        <f t="shared" si="11"/>
        <v>1001</v>
      </c>
      <c r="Q184" s="30">
        <f t="shared" si="12"/>
        <v>90.82</v>
      </c>
      <c r="R184" s="30">
        <f t="shared" si="13"/>
        <v>95.62</v>
      </c>
      <c r="S184" s="30">
        <f t="shared" si="14"/>
        <v>85.85</v>
      </c>
    </row>
    <row r="185" spans="1:19" s="5" customFormat="1" ht="15.95" customHeight="1" x14ac:dyDescent="0.25">
      <c r="A185" s="24" t="s">
        <v>123</v>
      </c>
      <c r="B185" s="15" t="s">
        <v>345</v>
      </c>
      <c r="C185" s="55" t="s">
        <v>41</v>
      </c>
      <c r="D185" s="41" t="s">
        <v>346</v>
      </c>
      <c r="E185" s="27" t="s">
        <v>5</v>
      </c>
      <c r="F185" s="28">
        <v>125637</v>
      </c>
      <c r="G185" s="28">
        <v>67063</v>
      </c>
      <c r="H185" s="28">
        <v>58574</v>
      </c>
      <c r="I185" s="28">
        <v>11890</v>
      </c>
      <c r="J185" s="28">
        <v>6266</v>
      </c>
      <c r="K185" s="28">
        <v>5624</v>
      </c>
      <c r="L185" s="28">
        <v>104558</v>
      </c>
      <c r="M185" s="28">
        <v>56125</v>
      </c>
      <c r="N185" s="28">
        <v>48433</v>
      </c>
      <c r="O185" s="29">
        <f t="shared" si="10"/>
        <v>873</v>
      </c>
      <c r="P185" s="29">
        <f t="shared" si="11"/>
        <v>898</v>
      </c>
      <c r="Q185" s="30">
        <f t="shared" si="12"/>
        <v>91.92</v>
      </c>
      <c r="R185" s="30">
        <f t="shared" si="13"/>
        <v>92.32</v>
      </c>
      <c r="S185" s="30">
        <f t="shared" si="14"/>
        <v>91.47</v>
      </c>
    </row>
    <row r="186" spans="1:19" s="5" customFormat="1" ht="15.95" customHeight="1" x14ac:dyDescent="0.25">
      <c r="A186" s="24" t="s">
        <v>123</v>
      </c>
      <c r="B186" s="15" t="s">
        <v>345</v>
      </c>
      <c r="C186" s="61" t="s">
        <v>57</v>
      </c>
      <c r="D186" s="41" t="s">
        <v>344</v>
      </c>
      <c r="E186" s="27" t="s">
        <v>5</v>
      </c>
      <c r="F186" s="28">
        <v>100477</v>
      </c>
      <c r="G186" s="28">
        <v>52635</v>
      </c>
      <c r="H186" s="28">
        <v>47842</v>
      </c>
      <c r="I186" s="28">
        <v>9497</v>
      </c>
      <c r="J186" s="28">
        <v>4849</v>
      </c>
      <c r="K186" s="28">
        <v>4648</v>
      </c>
      <c r="L186" s="28">
        <v>81077</v>
      </c>
      <c r="M186" s="28">
        <v>44355</v>
      </c>
      <c r="N186" s="28">
        <v>36722</v>
      </c>
      <c r="O186" s="29">
        <f t="shared" si="10"/>
        <v>909</v>
      </c>
      <c r="P186" s="29">
        <f t="shared" si="11"/>
        <v>959</v>
      </c>
      <c r="Q186" s="30">
        <f t="shared" si="12"/>
        <v>89.12</v>
      </c>
      <c r="R186" s="30">
        <f t="shared" si="13"/>
        <v>92.82</v>
      </c>
      <c r="S186" s="30">
        <f t="shared" si="14"/>
        <v>85.02</v>
      </c>
    </row>
    <row r="187" spans="1:19" s="5" customFormat="1" ht="15.95" customHeight="1" x14ac:dyDescent="0.25">
      <c r="A187" s="62">
        <v>19</v>
      </c>
      <c r="B187" s="15" t="s">
        <v>315</v>
      </c>
      <c r="C187" s="63">
        <v>99</v>
      </c>
      <c r="D187" s="26" t="s">
        <v>343</v>
      </c>
      <c r="E187" s="27" t="s">
        <v>5</v>
      </c>
      <c r="F187" s="64">
        <v>14112536</v>
      </c>
      <c r="G187" s="64">
        <v>7319682</v>
      </c>
      <c r="H187" s="64">
        <v>6792854</v>
      </c>
      <c r="I187" s="64">
        <v>1063394</v>
      </c>
      <c r="J187" s="64">
        <v>546373</v>
      </c>
      <c r="K187" s="64">
        <v>517021</v>
      </c>
      <c r="L187" s="64">
        <v>11526635</v>
      </c>
      <c r="M187" s="64">
        <v>6159091</v>
      </c>
      <c r="N187" s="64">
        <v>5367544</v>
      </c>
      <c r="O187" s="29">
        <f t="shared" si="10"/>
        <v>928</v>
      </c>
      <c r="P187" s="29">
        <f t="shared" si="11"/>
        <v>946</v>
      </c>
      <c r="Q187" s="30">
        <f t="shared" si="12"/>
        <v>88.33</v>
      </c>
      <c r="R187" s="30">
        <f t="shared" si="13"/>
        <v>90.93</v>
      </c>
      <c r="S187" s="30">
        <f t="shared" si="14"/>
        <v>85.53</v>
      </c>
    </row>
    <row r="188" spans="1:19" s="5" customFormat="1" ht="15.95" customHeight="1" x14ac:dyDescent="0.25">
      <c r="A188" s="62">
        <v>19</v>
      </c>
      <c r="B188" s="15" t="s">
        <v>315</v>
      </c>
      <c r="C188" s="65" t="s">
        <v>55</v>
      </c>
      <c r="D188" s="26" t="s">
        <v>342</v>
      </c>
      <c r="E188" s="27" t="s">
        <v>5</v>
      </c>
      <c r="F188" s="47">
        <v>1243008</v>
      </c>
      <c r="G188" s="47">
        <v>647831</v>
      </c>
      <c r="H188" s="47">
        <v>595177</v>
      </c>
      <c r="I188" s="47">
        <v>132560</v>
      </c>
      <c r="J188" s="47">
        <v>69051</v>
      </c>
      <c r="K188" s="47">
        <v>63509</v>
      </c>
      <c r="L188" s="47">
        <v>888324</v>
      </c>
      <c r="M188" s="47">
        <v>499532</v>
      </c>
      <c r="N188" s="47">
        <v>388792</v>
      </c>
      <c r="O188" s="29">
        <f t="shared" si="10"/>
        <v>919</v>
      </c>
      <c r="P188" s="29">
        <f t="shared" si="11"/>
        <v>920</v>
      </c>
      <c r="Q188" s="30">
        <f t="shared" si="12"/>
        <v>80</v>
      </c>
      <c r="R188" s="30">
        <f t="shared" si="13"/>
        <v>86.31</v>
      </c>
      <c r="S188" s="30">
        <f t="shared" si="14"/>
        <v>73.13</v>
      </c>
    </row>
    <row r="189" spans="1:19" s="5" customFormat="1" ht="15.95" customHeight="1" x14ac:dyDescent="0.25">
      <c r="A189" s="62">
        <v>19</v>
      </c>
      <c r="B189" s="15" t="s">
        <v>315</v>
      </c>
      <c r="C189" s="62" t="s">
        <v>313</v>
      </c>
      <c r="D189" s="26" t="s">
        <v>341</v>
      </c>
      <c r="E189" s="27" t="s">
        <v>5</v>
      </c>
      <c r="F189" s="47">
        <v>701489</v>
      </c>
      <c r="G189" s="47">
        <v>359750</v>
      </c>
      <c r="H189" s="47">
        <v>341739</v>
      </c>
      <c r="I189" s="47">
        <v>72252</v>
      </c>
      <c r="J189" s="47">
        <v>37355</v>
      </c>
      <c r="K189" s="47">
        <v>34897</v>
      </c>
      <c r="L189" s="47">
        <v>516297</v>
      </c>
      <c r="M189" s="47">
        <v>278087</v>
      </c>
      <c r="N189" s="47">
        <v>238210</v>
      </c>
      <c r="O189" s="29">
        <f t="shared" si="10"/>
        <v>950</v>
      </c>
      <c r="P189" s="29">
        <f t="shared" si="11"/>
        <v>934</v>
      </c>
      <c r="Q189" s="30">
        <f t="shared" si="12"/>
        <v>82.05</v>
      </c>
      <c r="R189" s="30">
        <f t="shared" si="13"/>
        <v>86.26</v>
      </c>
      <c r="S189" s="30">
        <f t="shared" si="14"/>
        <v>77.63</v>
      </c>
    </row>
    <row r="190" spans="1:19" s="5" customFormat="1" ht="15.95" customHeight="1" x14ac:dyDescent="0.25">
      <c r="A190" s="62">
        <v>19</v>
      </c>
      <c r="B190" s="15" t="s">
        <v>315</v>
      </c>
      <c r="C190" s="65" t="s">
        <v>55</v>
      </c>
      <c r="D190" s="26" t="s">
        <v>340</v>
      </c>
      <c r="E190" s="27" t="s">
        <v>5</v>
      </c>
      <c r="F190" s="47">
        <v>581409</v>
      </c>
      <c r="G190" s="47">
        <v>301700</v>
      </c>
      <c r="H190" s="47">
        <v>279709</v>
      </c>
      <c r="I190" s="47">
        <v>51930</v>
      </c>
      <c r="J190" s="47">
        <v>26688</v>
      </c>
      <c r="K190" s="47">
        <v>25242</v>
      </c>
      <c r="L190" s="47">
        <v>464340</v>
      </c>
      <c r="M190" s="47">
        <v>253051</v>
      </c>
      <c r="N190" s="47">
        <v>211289</v>
      </c>
      <c r="O190" s="29">
        <f t="shared" si="10"/>
        <v>927</v>
      </c>
      <c r="P190" s="29">
        <f t="shared" si="11"/>
        <v>946</v>
      </c>
      <c r="Q190" s="30">
        <f t="shared" si="12"/>
        <v>87.7</v>
      </c>
      <c r="R190" s="30">
        <f t="shared" si="13"/>
        <v>92.01</v>
      </c>
      <c r="S190" s="30">
        <f t="shared" si="14"/>
        <v>83.03</v>
      </c>
    </row>
    <row r="191" spans="1:19" s="5" customFormat="1" ht="15.95" customHeight="1" x14ac:dyDescent="0.25">
      <c r="A191" s="62">
        <v>19</v>
      </c>
      <c r="B191" s="15" t="s">
        <v>315</v>
      </c>
      <c r="C191" s="65" t="s">
        <v>55</v>
      </c>
      <c r="D191" s="26" t="s">
        <v>339</v>
      </c>
      <c r="E191" s="27" t="s">
        <v>5</v>
      </c>
      <c r="F191" s="47">
        <v>347016</v>
      </c>
      <c r="G191" s="47">
        <v>177055</v>
      </c>
      <c r="H191" s="47">
        <v>169961</v>
      </c>
      <c r="I191" s="47">
        <v>25069</v>
      </c>
      <c r="J191" s="47">
        <v>12900</v>
      </c>
      <c r="K191" s="47">
        <v>12169</v>
      </c>
      <c r="L191" s="47">
        <v>285300</v>
      </c>
      <c r="M191" s="47">
        <v>151395</v>
      </c>
      <c r="N191" s="47">
        <v>133905</v>
      </c>
      <c r="O191" s="29">
        <f t="shared" si="10"/>
        <v>960</v>
      </c>
      <c r="P191" s="29">
        <f t="shared" si="11"/>
        <v>943</v>
      </c>
      <c r="Q191" s="30">
        <f t="shared" si="12"/>
        <v>88.62</v>
      </c>
      <c r="R191" s="30">
        <f t="shared" si="13"/>
        <v>92.23</v>
      </c>
      <c r="S191" s="30">
        <f t="shared" si="14"/>
        <v>84.86</v>
      </c>
    </row>
    <row r="192" spans="1:19" s="5" customFormat="1" ht="15.95" customHeight="1" x14ac:dyDescent="0.25">
      <c r="A192" s="62">
        <v>19</v>
      </c>
      <c r="B192" s="15" t="s">
        <v>315</v>
      </c>
      <c r="C192" s="62" t="s">
        <v>74</v>
      </c>
      <c r="D192" s="26" t="s">
        <v>338</v>
      </c>
      <c r="E192" s="27" t="s">
        <v>5</v>
      </c>
      <c r="F192" s="47">
        <v>324237</v>
      </c>
      <c r="G192" s="47">
        <v>175073</v>
      </c>
      <c r="H192" s="47">
        <v>149164</v>
      </c>
      <c r="I192" s="47">
        <v>44186</v>
      </c>
      <c r="J192" s="47">
        <v>24262</v>
      </c>
      <c r="K192" s="47">
        <v>19924</v>
      </c>
      <c r="L192" s="47">
        <v>227726</v>
      </c>
      <c r="M192" s="47">
        <v>123824</v>
      </c>
      <c r="N192" s="47">
        <v>103902</v>
      </c>
      <c r="O192" s="29">
        <f t="shared" si="10"/>
        <v>852</v>
      </c>
      <c r="P192" s="29">
        <f t="shared" si="11"/>
        <v>821</v>
      </c>
      <c r="Q192" s="30">
        <f t="shared" si="12"/>
        <v>81.319999999999993</v>
      </c>
      <c r="R192" s="30">
        <f t="shared" si="13"/>
        <v>82.11</v>
      </c>
      <c r="S192" s="30">
        <f t="shared" si="14"/>
        <v>80.39</v>
      </c>
    </row>
    <row r="193" spans="1:19" s="5" customFormat="1" ht="15.95" customHeight="1" x14ac:dyDescent="0.25">
      <c r="A193" s="62">
        <v>19</v>
      </c>
      <c r="B193" s="15" t="s">
        <v>315</v>
      </c>
      <c r="C193" s="62" t="s">
        <v>57</v>
      </c>
      <c r="D193" s="26" t="s">
        <v>337</v>
      </c>
      <c r="E193" s="27" t="s">
        <v>5</v>
      </c>
      <c r="F193" s="47">
        <v>305609</v>
      </c>
      <c r="G193" s="47">
        <v>156489</v>
      </c>
      <c r="H193" s="47">
        <v>149120</v>
      </c>
      <c r="I193" s="47">
        <v>23182</v>
      </c>
      <c r="J193" s="47">
        <v>11877</v>
      </c>
      <c r="K193" s="47">
        <v>11305</v>
      </c>
      <c r="L193" s="47">
        <v>249617</v>
      </c>
      <c r="M193" s="47">
        <v>131561</v>
      </c>
      <c r="N193" s="47">
        <v>118056</v>
      </c>
      <c r="O193" s="29">
        <f t="shared" si="10"/>
        <v>953</v>
      </c>
      <c r="P193" s="29">
        <f t="shared" si="11"/>
        <v>952</v>
      </c>
      <c r="Q193" s="30">
        <f t="shared" si="12"/>
        <v>88.38</v>
      </c>
      <c r="R193" s="30">
        <f t="shared" si="13"/>
        <v>90.98</v>
      </c>
      <c r="S193" s="30">
        <f t="shared" si="14"/>
        <v>85.66</v>
      </c>
    </row>
    <row r="194" spans="1:19" s="5" customFormat="1" ht="15.95" customHeight="1" x14ac:dyDescent="0.25">
      <c r="A194" s="62">
        <v>19</v>
      </c>
      <c r="B194" s="15" t="s">
        <v>315</v>
      </c>
      <c r="C194" s="65" t="s">
        <v>48</v>
      </c>
      <c r="D194" s="26" t="s">
        <v>336</v>
      </c>
      <c r="E194" s="27" t="s">
        <v>5</v>
      </c>
      <c r="F194" s="47">
        <v>304584</v>
      </c>
      <c r="G194" s="47">
        <v>154861</v>
      </c>
      <c r="H194" s="47">
        <v>149723</v>
      </c>
      <c r="I194" s="47">
        <v>23023</v>
      </c>
      <c r="J194" s="47">
        <v>11864</v>
      </c>
      <c r="K194" s="47">
        <v>11159</v>
      </c>
      <c r="L194" s="47">
        <v>256313</v>
      </c>
      <c r="M194" s="47">
        <v>134864</v>
      </c>
      <c r="N194" s="47">
        <v>121449</v>
      </c>
      <c r="O194" s="29">
        <f t="shared" si="10"/>
        <v>967</v>
      </c>
      <c r="P194" s="29">
        <f t="shared" si="11"/>
        <v>941</v>
      </c>
      <c r="Q194" s="30">
        <f t="shared" si="12"/>
        <v>91.03</v>
      </c>
      <c r="R194" s="30">
        <f t="shared" si="13"/>
        <v>94.31</v>
      </c>
      <c r="S194" s="30">
        <f t="shared" si="14"/>
        <v>87.65</v>
      </c>
    </row>
    <row r="195" spans="1:19" s="5" customFormat="1" ht="15.95" customHeight="1" x14ac:dyDescent="0.25">
      <c r="A195" s="62">
        <v>19</v>
      </c>
      <c r="B195" s="15" t="s">
        <v>315</v>
      </c>
      <c r="C195" s="63" t="s">
        <v>123</v>
      </c>
      <c r="D195" s="26" t="s">
        <v>335</v>
      </c>
      <c r="E195" s="27" t="s">
        <v>5</v>
      </c>
      <c r="F195" s="47">
        <v>293719</v>
      </c>
      <c r="G195" s="47">
        <v>150487</v>
      </c>
      <c r="H195" s="47">
        <v>143232</v>
      </c>
      <c r="I195" s="47">
        <v>25130</v>
      </c>
      <c r="J195" s="47">
        <v>12923</v>
      </c>
      <c r="K195" s="47">
        <v>12207</v>
      </c>
      <c r="L195" s="47">
        <v>229952</v>
      </c>
      <c r="M195" s="47">
        <v>124412</v>
      </c>
      <c r="N195" s="47">
        <v>105540</v>
      </c>
      <c r="O195" s="29">
        <f t="shared" si="10"/>
        <v>952</v>
      </c>
      <c r="P195" s="29">
        <f t="shared" si="11"/>
        <v>945</v>
      </c>
      <c r="Q195" s="30">
        <f t="shared" si="12"/>
        <v>85.61</v>
      </c>
      <c r="R195" s="30">
        <f t="shared" si="13"/>
        <v>90.44</v>
      </c>
      <c r="S195" s="30">
        <f t="shared" si="14"/>
        <v>80.55</v>
      </c>
    </row>
    <row r="196" spans="1:19" s="5" customFormat="1" ht="15.95" customHeight="1" x14ac:dyDescent="0.25">
      <c r="A196" s="62">
        <v>19</v>
      </c>
      <c r="B196" s="15" t="s">
        <v>315</v>
      </c>
      <c r="C196" s="65" t="s">
        <v>41</v>
      </c>
      <c r="D196" s="26" t="s">
        <v>334</v>
      </c>
      <c r="E196" s="27" t="s">
        <v>5</v>
      </c>
      <c r="F196" s="47">
        <v>288718</v>
      </c>
      <c r="G196" s="47">
        <v>147299</v>
      </c>
      <c r="H196" s="47">
        <v>141419</v>
      </c>
      <c r="I196" s="47">
        <v>24006</v>
      </c>
      <c r="J196" s="47">
        <v>12303</v>
      </c>
      <c r="K196" s="47">
        <v>11703</v>
      </c>
      <c r="L196" s="47">
        <v>218828</v>
      </c>
      <c r="M196" s="47">
        <v>117371</v>
      </c>
      <c r="N196" s="47">
        <v>101457</v>
      </c>
      <c r="O196" s="29">
        <f t="shared" ref="O196:O259" si="15">ROUND((H196/G196)*1000,0)</f>
        <v>960</v>
      </c>
      <c r="P196" s="29">
        <f t="shared" ref="P196:P259" si="16">ROUND((K196/J196)*1000,0)</f>
        <v>951</v>
      </c>
      <c r="Q196" s="30">
        <f t="shared" ref="Q196:Q259" si="17">ROUND(L196/(F196-I196)*100,2)</f>
        <v>82.67</v>
      </c>
      <c r="R196" s="30">
        <f t="shared" ref="R196:R259" si="18">ROUND(M196/(G196-J196)*100,2)</f>
        <v>86.94</v>
      </c>
      <c r="S196" s="30">
        <f t="shared" ref="S196:S259" si="19">ROUND(N196/(H196-K196)*100,2)</f>
        <v>78.209999999999994</v>
      </c>
    </row>
    <row r="197" spans="1:19" s="5" customFormat="1" ht="15.95" customHeight="1" x14ac:dyDescent="0.25">
      <c r="A197" s="62">
        <v>19</v>
      </c>
      <c r="B197" s="15" t="s">
        <v>315</v>
      </c>
      <c r="C197" s="65" t="s">
        <v>43</v>
      </c>
      <c r="D197" s="26" t="s">
        <v>333</v>
      </c>
      <c r="E197" s="27" t="s">
        <v>5</v>
      </c>
      <c r="F197" s="47">
        <v>249840</v>
      </c>
      <c r="G197" s="47">
        <v>128139</v>
      </c>
      <c r="H197" s="47">
        <v>121701</v>
      </c>
      <c r="I197" s="47">
        <v>22956</v>
      </c>
      <c r="J197" s="47">
        <v>11827</v>
      </c>
      <c r="K197" s="47">
        <v>11129</v>
      </c>
      <c r="L197" s="47">
        <v>194410</v>
      </c>
      <c r="M197" s="47">
        <v>103668</v>
      </c>
      <c r="N197" s="47">
        <v>90742</v>
      </c>
      <c r="O197" s="29">
        <f t="shared" si="15"/>
        <v>950</v>
      </c>
      <c r="P197" s="29">
        <f t="shared" si="16"/>
        <v>941</v>
      </c>
      <c r="Q197" s="30">
        <f t="shared" si="17"/>
        <v>85.69</v>
      </c>
      <c r="R197" s="30">
        <f t="shared" si="18"/>
        <v>89.13</v>
      </c>
      <c r="S197" s="30">
        <f t="shared" si="19"/>
        <v>82.07</v>
      </c>
    </row>
    <row r="198" spans="1:19" s="5" customFormat="1" ht="15.95" customHeight="1" x14ac:dyDescent="0.25">
      <c r="A198" s="62">
        <v>19</v>
      </c>
      <c r="B198" s="15" t="s">
        <v>315</v>
      </c>
      <c r="C198" s="62" t="s">
        <v>57</v>
      </c>
      <c r="D198" s="26" t="s">
        <v>332</v>
      </c>
      <c r="E198" s="27" t="s">
        <v>5</v>
      </c>
      <c r="F198" s="47">
        <v>239022</v>
      </c>
      <c r="G198" s="47">
        <v>119151</v>
      </c>
      <c r="H198" s="47">
        <v>119871</v>
      </c>
      <c r="I198" s="47">
        <v>45483</v>
      </c>
      <c r="J198" s="47">
        <v>22981</v>
      </c>
      <c r="K198" s="47">
        <v>22502</v>
      </c>
      <c r="L198" s="47">
        <v>116233</v>
      </c>
      <c r="M198" s="47">
        <v>63607</v>
      </c>
      <c r="N198" s="47">
        <v>52626</v>
      </c>
      <c r="O198" s="29">
        <f t="shared" si="15"/>
        <v>1006</v>
      </c>
      <c r="P198" s="29">
        <f t="shared" si="16"/>
        <v>979</v>
      </c>
      <c r="Q198" s="30">
        <f t="shared" si="17"/>
        <v>60.06</v>
      </c>
      <c r="R198" s="30">
        <f t="shared" si="18"/>
        <v>66.14</v>
      </c>
      <c r="S198" s="30">
        <f t="shared" si="19"/>
        <v>54.05</v>
      </c>
    </row>
    <row r="199" spans="1:19" s="5" customFormat="1" ht="15.95" customHeight="1" x14ac:dyDescent="0.25">
      <c r="A199" s="62">
        <v>19</v>
      </c>
      <c r="B199" s="15" t="s">
        <v>315</v>
      </c>
      <c r="C199" s="65" t="s">
        <v>41</v>
      </c>
      <c r="D199" s="26" t="s">
        <v>331</v>
      </c>
      <c r="E199" s="27" t="s">
        <v>5</v>
      </c>
      <c r="F199" s="47">
        <v>235583</v>
      </c>
      <c r="G199" s="47">
        <v>119578</v>
      </c>
      <c r="H199" s="47">
        <v>116005</v>
      </c>
      <c r="I199" s="47">
        <v>18575</v>
      </c>
      <c r="J199" s="47">
        <v>9601</v>
      </c>
      <c r="K199" s="47">
        <v>8974</v>
      </c>
      <c r="L199" s="47">
        <v>186844</v>
      </c>
      <c r="M199" s="47">
        <v>98723</v>
      </c>
      <c r="N199" s="47">
        <v>88121</v>
      </c>
      <c r="O199" s="29">
        <f t="shared" si="15"/>
        <v>970</v>
      </c>
      <c r="P199" s="29">
        <f t="shared" si="16"/>
        <v>935</v>
      </c>
      <c r="Q199" s="30">
        <f t="shared" si="17"/>
        <v>86.1</v>
      </c>
      <c r="R199" s="30">
        <f t="shared" si="18"/>
        <v>89.77</v>
      </c>
      <c r="S199" s="30">
        <f t="shared" si="19"/>
        <v>82.33</v>
      </c>
    </row>
    <row r="200" spans="1:19" s="5" customFormat="1" ht="15.95" customHeight="1" x14ac:dyDescent="0.25">
      <c r="A200" s="62">
        <v>19</v>
      </c>
      <c r="B200" s="15" t="s">
        <v>315</v>
      </c>
      <c r="C200" s="63" t="s">
        <v>27</v>
      </c>
      <c r="D200" s="46" t="s">
        <v>330</v>
      </c>
      <c r="E200" s="36" t="s">
        <v>0</v>
      </c>
      <c r="F200" s="47">
        <v>200762</v>
      </c>
      <c r="G200" s="47">
        <v>104852</v>
      </c>
      <c r="H200" s="47">
        <v>95910</v>
      </c>
      <c r="I200" s="47">
        <v>21122</v>
      </c>
      <c r="J200" s="47">
        <v>10799</v>
      </c>
      <c r="K200" s="47">
        <v>10323</v>
      </c>
      <c r="L200" s="47">
        <v>159984</v>
      </c>
      <c r="M200" s="47">
        <v>88125</v>
      </c>
      <c r="N200" s="47">
        <v>71859</v>
      </c>
      <c r="O200" s="29">
        <f t="shared" si="15"/>
        <v>915</v>
      </c>
      <c r="P200" s="29">
        <f t="shared" si="16"/>
        <v>956</v>
      </c>
      <c r="Q200" s="30">
        <f t="shared" si="17"/>
        <v>89.06</v>
      </c>
      <c r="R200" s="30">
        <f t="shared" si="18"/>
        <v>93.7</v>
      </c>
      <c r="S200" s="30">
        <f t="shared" si="19"/>
        <v>83.96</v>
      </c>
    </row>
    <row r="201" spans="1:19" s="5" customFormat="1" ht="15.95" customHeight="1" x14ac:dyDescent="0.25">
      <c r="A201" s="62">
        <v>19</v>
      </c>
      <c r="B201" s="15" t="s">
        <v>315</v>
      </c>
      <c r="C201" s="62" t="s">
        <v>15</v>
      </c>
      <c r="D201" s="26" t="s">
        <v>329</v>
      </c>
      <c r="E201" s="27" t="s">
        <v>5</v>
      </c>
      <c r="F201" s="47">
        <v>199758</v>
      </c>
      <c r="G201" s="47">
        <v>104966</v>
      </c>
      <c r="H201" s="47">
        <v>94792</v>
      </c>
      <c r="I201" s="47">
        <v>22028</v>
      </c>
      <c r="J201" s="47">
        <v>11335</v>
      </c>
      <c r="K201" s="47">
        <v>10693</v>
      </c>
      <c r="L201" s="47">
        <v>145229</v>
      </c>
      <c r="M201" s="47">
        <v>79076</v>
      </c>
      <c r="N201" s="47">
        <v>66153</v>
      </c>
      <c r="O201" s="29">
        <f t="shared" si="15"/>
        <v>903</v>
      </c>
      <c r="P201" s="29">
        <f t="shared" si="16"/>
        <v>943</v>
      </c>
      <c r="Q201" s="30">
        <f t="shared" si="17"/>
        <v>81.709999999999994</v>
      </c>
      <c r="R201" s="30">
        <f t="shared" si="18"/>
        <v>84.45</v>
      </c>
      <c r="S201" s="30">
        <f t="shared" si="19"/>
        <v>78.66</v>
      </c>
    </row>
    <row r="202" spans="1:19" s="5" customFormat="1" ht="15.95" customHeight="1" x14ac:dyDescent="0.25">
      <c r="A202" s="62">
        <v>19</v>
      </c>
      <c r="B202" s="15" t="s">
        <v>315</v>
      </c>
      <c r="C202" s="65" t="s">
        <v>41</v>
      </c>
      <c r="D202" s="26" t="s">
        <v>328</v>
      </c>
      <c r="E202" s="27" t="s">
        <v>5</v>
      </c>
      <c r="F202" s="47">
        <v>181182</v>
      </c>
      <c r="G202" s="47">
        <v>91583</v>
      </c>
      <c r="H202" s="47">
        <v>89599</v>
      </c>
      <c r="I202" s="47">
        <v>13663</v>
      </c>
      <c r="J202" s="47">
        <v>7095</v>
      </c>
      <c r="K202" s="47">
        <v>6568</v>
      </c>
      <c r="L202" s="47">
        <v>147565</v>
      </c>
      <c r="M202" s="47">
        <v>76746</v>
      </c>
      <c r="N202" s="47">
        <v>70819</v>
      </c>
      <c r="O202" s="29">
        <f t="shared" si="15"/>
        <v>978</v>
      </c>
      <c r="P202" s="29">
        <f t="shared" si="16"/>
        <v>926</v>
      </c>
      <c r="Q202" s="30">
        <f t="shared" si="17"/>
        <v>88.09</v>
      </c>
      <c r="R202" s="30">
        <f t="shared" si="18"/>
        <v>90.84</v>
      </c>
      <c r="S202" s="30">
        <f t="shared" si="19"/>
        <v>85.29</v>
      </c>
    </row>
    <row r="203" spans="1:19" s="5" customFormat="1" ht="15.95" customHeight="1" x14ac:dyDescent="0.25">
      <c r="A203" s="62">
        <v>19</v>
      </c>
      <c r="B203" s="15" t="s">
        <v>315</v>
      </c>
      <c r="C203" s="65" t="s">
        <v>41</v>
      </c>
      <c r="D203" s="26" t="s">
        <v>327</v>
      </c>
      <c r="E203" s="27" t="s">
        <v>5</v>
      </c>
      <c r="F203" s="47">
        <v>175474</v>
      </c>
      <c r="G203" s="47">
        <v>90810</v>
      </c>
      <c r="H203" s="47">
        <v>84664</v>
      </c>
      <c r="I203" s="47">
        <v>13049</v>
      </c>
      <c r="J203" s="47">
        <v>6741</v>
      </c>
      <c r="K203" s="47">
        <v>6308</v>
      </c>
      <c r="L203" s="47">
        <v>137367</v>
      </c>
      <c r="M203" s="47">
        <v>74561</v>
      </c>
      <c r="N203" s="47">
        <v>62806</v>
      </c>
      <c r="O203" s="29">
        <f t="shared" si="15"/>
        <v>932</v>
      </c>
      <c r="P203" s="29">
        <f t="shared" si="16"/>
        <v>936</v>
      </c>
      <c r="Q203" s="30">
        <f t="shared" si="17"/>
        <v>84.57</v>
      </c>
      <c r="R203" s="30">
        <f t="shared" si="18"/>
        <v>88.69</v>
      </c>
      <c r="S203" s="30">
        <f t="shared" si="19"/>
        <v>80.150000000000006</v>
      </c>
    </row>
    <row r="204" spans="1:19" s="5" customFormat="1" ht="15.95" customHeight="1" x14ac:dyDescent="0.25">
      <c r="A204" s="62">
        <v>19</v>
      </c>
      <c r="B204" s="15" t="s">
        <v>315</v>
      </c>
      <c r="C204" s="63" t="s">
        <v>123</v>
      </c>
      <c r="D204" s="46" t="s">
        <v>326</v>
      </c>
      <c r="E204" s="36" t="s">
        <v>0</v>
      </c>
      <c r="F204" s="47">
        <v>169127</v>
      </c>
      <c r="G204" s="47">
        <v>85362</v>
      </c>
      <c r="H204" s="47">
        <v>83765</v>
      </c>
      <c r="I204" s="47">
        <v>14365</v>
      </c>
      <c r="J204" s="47">
        <v>7259</v>
      </c>
      <c r="K204" s="47">
        <v>7106</v>
      </c>
      <c r="L204" s="47">
        <v>139303</v>
      </c>
      <c r="M204" s="47">
        <v>72948</v>
      </c>
      <c r="N204" s="47">
        <v>66355</v>
      </c>
      <c r="O204" s="29">
        <f t="shared" si="15"/>
        <v>981</v>
      </c>
      <c r="P204" s="29">
        <f t="shared" si="16"/>
        <v>979</v>
      </c>
      <c r="Q204" s="30">
        <f t="shared" si="17"/>
        <v>90.01</v>
      </c>
      <c r="R204" s="30">
        <f t="shared" si="18"/>
        <v>93.4</v>
      </c>
      <c r="S204" s="30">
        <f t="shared" si="19"/>
        <v>86.56</v>
      </c>
    </row>
    <row r="205" spans="1:19" s="5" customFormat="1" ht="15.95" customHeight="1" x14ac:dyDescent="0.25">
      <c r="A205" s="62">
        <v>19</v>
      </c>
      <c r="B205" s="15" t="s">
        <v>315</v>
      </c>
      <c r="C205" s="62" t="s">
        <v>7</v>
      </c>
      <c r="D205" s="66" t="s">
        <v>325</v>
      </c>
      <c r="E205" s="27" t="s">
        <v>5</v>
      </c>
      <c r="F205" s="47">
        <v>169013</v>
      </c>
      <c r="G205" s="47">
        <v>85226</v>
      </c>
      <c r="H205" s="47">
        <v>83787</v>
      </c>
      <c r="I205" s="47">
        <v>14522</v>
      </c>
      <c r="J205" s="47">
        <v>7441</v>
      </c>
      <c r="K205" s="47">
        <v>7081</v>
      </c>
      <c r="L205" s="47">
        <v>132911</v>
      </c>
      <c r="M205" s="47">
        <v>69531</v>
      </c>
      <c r="N205" s="47">
        <v>63380</v>
      </c>
      <c r="O205" s="29">
        <f t="shared" si="15"/>
        <v>983</v>
      </c>
      <c r="P205" s="29">
        <f t="shared" si="16"/>
        <v>952</v>
      </c>
      <c r="Q205" s="30">
        <f t="shared" si="17"/>
        <v>86.03</v>
      </c>
      <c r="R205" s="30">
        <f t="shared" si="18"/>
        <v>89.39</v>
      </c>
      <c r="S205" s="30">
        <f t="shared" si="19"/>
        <v>82.63</v>
      </c>
    </row>
    <row r="206" spans="1:19" s="5" customFormat="1" ht="15.95" customHeight="1" x14ac:dyDescent="0.25">
      <c r="A206" s="62">
        <v>19</v>
      </c>
      <c r="B206" s="15" t="s">
        <v>315</v>
      </c>
      <c r="C206" s="62" t="s">
        <v>25</v>
      </c>
      <c r="D206" s="26" t="s">
        <v>324</v>
      </c>
      <c r="E206" s="27" t="s">
        <v>5</v>
      </c>
      <c r="F206" s="47">
        <v>164593</v>
      </c>
      <c r="G206" s="47">
        <v>82466</v>
      </c>
      <c r="H206" s="47">
        <v>82127</v>
      </c>
      <c r="I206" s="47">
        <v>10349</v>
      </c>
      <c r="J206" s="47">
        <v>5257</v>
      </c>
      <c r="K206" s="47">
        <v>5092</v>
      </c>
      <c r="L206" s="47">
        <v>141381</v>
      </c>
      <c r="M206" s="47">
        <v>72831</v>
      </c>
      <c r="N206" s="47">
        <v>68550</v>
      </c>
      <c r="O206" s="29">
        <f t="shared" si="15"/>
        <v>996</v>
      </c>
      <c r="P206" s="29">
        <f t="shared" si="16"/>
        <v>969</v>
      </c>
      <c r="Q206" s="30">
        <f t="shared" si="17"/>
        <v>91.66</v>
      </c>
      <c r="R206" s="30">
        <f t="shared" si="18"/>
        <v>94.33</v>
      </c>
      <c r="S206" s="30">
        <f t="shared" si="19"/>
        <v>88.99</v>
      </c>
    </row>
    <row r="207" spans="1:19" s="5" customFormat="1" ht="15.95" customHeight="1" x14ac:dyDescent="0.25">
      <c r="A207" s="62">
        <v>19</v>
      </c>
      <c r="B207" s="15" t="s">
        <v>315</v>
      </c>
      <c r="C207" s="65" t="s">
        <v>48</v>
      </c>
      <c r="D207" s="26" t="s">
        <v>323</v>
      </c>
      <c r="E207" s="27" t="s">
        <v>5</v>
      </c>
      <c r="F207" s="47">
        <v>144891</v>
      </c>
      <c r="G207" s="47">
        <v>73491</v>
      </c>
      <c r="H207" s="47">
        <v>71400</v>
      </c>
      <c r="I207" s="47">
        <v>12578</v>
      </c>
      <c r="J207" s="47">
        <v>6495</v>
      </c>
      <c r="K207" s="47">
        <v>6083</v>
      </c>
      <c r="L207" s="47">
        <v>114952</v>
      </c>
      <c r="M207" s="47">
        <v>60499</v>
      </c>
      <c r="N207" s="47">
        <v>54453</v>
      </c>
      <c r="O207" s="29">
        <f t="shared" si="15"/>
        <v>972</v>
      </c>
      <c r="P207" s="29">
        <f t="shared" si="16"/>
        <v>937</v>
      </c>
      <c r="Q207" s="30">
        <f t="shared" si="17"/>
        <v>86.88</v>
      </c>
      <c r="R207" s="30">
        <f t="shared" si="18"/>
        <v>90.3</v>
      </c>
      <c r="S207" s="30">
        <f t="shared" si="19"/>
        <v>83.37</v>
      </c>
    </row>
    <row r="208" spans="1:19" s="5" customFormat="1" ht="15.95" customHeight="1" x14ac:dyDescent="0.25">
      <c r="A208" s="62">
        <v>19</v>
      </c>
      <c r="B208" s="15" t="s">
        <v>315</v>
      </c>
      <c r="C208" s="65" t="s">
        <v>60</v>
      </c>
      <c r="D208" s="46" t="s">
        <v>322</v>
      </c>
      <c r="E208" s="36" t="s">
        <v>0</v>
      </c>
      <c r="F208" s="47">
        <v>138036</v>
      </c>
      <c r="G208" s="47">
        <v>70734</v>
      </c>
      <c r="H208" s="47">
        <v>67302</v>
      </c>
      <c r="I208" s="47">
        <v>10760</v>
      </c>
      <c r="J208" s="47">
        <v>5502</v>
      </c>
      <c r="K208" s="47">
        <v>5258</v>
      </c>
      <c r="L208" s="47">
        <v>111073</v>
      </c>
      <c r="M208" s="47">
        <v>60272</v>
      </c>
      <c r="N208" s="47">
        <v>50801</v>
      </c>
      <c r="O208" s="29">
        <f t="shared" si="15"/>
        <v>951</v>
      </c>
      <c r="P208" s="29">
        <f t="shared" si="16"/>
        <v>956</v>
      </c>
      <c r="Q208" s="30">
        <f t="shared" si="17"/>
        <v>87.27</v>
      </c>
      <c r="R208" s="30">
        <f t="shared" si="18"/>
        <v>92.4</v>
      </c>
      <c r="S208" s="30">
        <f t="shared" si="19"/>
        <v>81.88</v>
      </c>
    </row>
    <row r="209" spans="1:19" s="5" customFormat="1" ht="15.95" customHeight="1" x14ac:dyDescent="0.25">
      <c r="A209" s="62">
        <v>19</v>
      </c>
      <c r="B209" s="15" t="s">
        <v>315</v>
      </c>
      <c r="C209" s="65" t="s">
        <v>41</v>
      </c>
      <c r="D209" s="26" t="s">
        <v>321</v>
      </c>
      <c r="E209" s="27" t="s">
        <v>5</v>
      </c>
      <c r="F209" s="47">
        <v>132855</v>
      </c>
      <c r="G209" s="47">
        <v>67135</v>
      </c>
      <c r="H209" s="47">
        <v>65720</v>
      </c>
      <c r="I209" s="47">
        <v>9829</v>
      </c>
      <c r="J209" s="47">
        <v>4978</v>
      </c>
      <c r="K209" s="47">
        <v>4851</v>
      </c>
      <c r="L209" s="47">
        <v>111895</v>
      </c>
      <c r="M209" s="47">
        <v>58405</v>
      </c>
      <c r="N209" s="47">
        <v>53490</v>
      </c>
      <c r="O209" s="29">
        <f t="shared" si="15"/>
        <v>979</v>
      </c>
      <c r="P209" s="29">
        <f t="shared" si="16"/>
        <v>974</v>
      </c>
      <c r="Q209" s="30">
        <f t="shared" si="17"/>
        <v>90.95</v>
      </c>
      <c r="R209" s="30">
        <f t="shared" si="18"/>
        <v>93.96</v>
      </c>
      <c r="S209" s="30">
        <f t="shared" si="19"/>
        <v>87.88</v>
      </c>
    </row>
    <row r="210" spans="1:19" s="5" customFormat="1" ht="15.95" customHeight="1" x14ac:dyDescent="0.25">
      <c r="A210" s="62">
        <v>19</v>
      </c>
      <c r="B210" s="15" t="s">
        <v>315</v>
      </c>
      <c r="C210" s="62" t="s">
        <v>71</v>
      </c>
      <c r="D210" s="26" t="s">
        <v>320</v>
      </c>
      <c r="E210" s="27" t="s">
        <v>5</v>
      </c>
      <c r="F210" s="47">
        <v>132016</v>
      </c>
      <c r="G210" s="47">
        <v>65839</v>
      </c>
      <c r="H210" s="47">
        <v>66177</v>
      </c>
      <c r="I210" s="47">
        <v>7382</v>
      </c>
      <c r="J210" s="47">
        <v>3862</v>
      </c>
      <c r="K210" s="47">
        <v>3520</v>
      </c>
      <c r="L210" s="47">
        <v>116126</v>
      </c>
      <c r="M210" s="47">
        <v>59536</v>
      </c>
      <c r="N210" s="47">
        <v>56590</v>
      </c>
      <c r="O210" s="29">
        <f t="shared" si="15"/>
        <v>1005</v>
      </c>
      <c r="P210" s="29">
        <f t="shared" si="16"/>
        <v>911</v>
      </c>
      <c r="Q210" s="30">
        <f t="shared" si="17"/>
        <v>93.17</v>
      </c>
      <c r="R210" s="30">
        <f t="shared" si="18"/>
        <v>96.06</v>
      </c>
      <c r="S210" s="30">
        <f t="shared" si="19"/>
        <v>90.32</v>
      </c>
    </row>
    <row r="211" spans="1:19" s="5" customFormat="1" ht="15.95" customHeight="1" x14ac:dyDescent="0.25">
      <c r="A211" s="62">
        <v>19</v>
      </c>
      <c r="B211" s="15" t="s">
        <v>315</v>
      </c>
      <c r="C211" s="62" t="s">
        <v>7</v>
      </c>
      <c r="D211" s="26" t="s">
        <v>319</v>
      </c>
      <c r="E211" s="27" t="s">
        <v>5</v>
      </c>
      <c r="F211" s="47">
        <v>127342</v>
      </c>
      <c r="G211" s="47">
        <v>64898</v>
      </c>
      <c r="H211" s="47">
        <v>62444</v>
      </c>
      <c r="I211" s="47">
        <v>10545</v>
      </c>
      <c r="J211" s="47">
        <v>5422</v>
      </c>
      <c r="K211" s="47">
        <v>5123</v>
      </c>
      <c r="L211" s="47">
        <v>104139</v>
      </c>
      <c r="M211" s="47">
        <v>54714</v>
      </c>
      <c r="N211" s="47">
        <v>49425</v>
      </c>
      <c r="O211" s="29">
        <f t="shared" si="15"/>
        <v>962</v>
      </c>
      <c r="P211" s="29">
        <f t="shared" si="16"/>
        <v>945</v>
      </c>
      <c r="Q211" s="30">
        <f t="shared" si="17"/>
        <v>89.16</v>
      </c>
      <c r="R211" s="30">
        <f t="shared" si="18"/>
        <v>91.99</v>
      </c>
      <c r="S211" s="30">
        <f t="shared" si="19"/>
        <v>86.22</v>
      </c>
    </row>
    <row r="212" spans="1:19" s="5" customFormat="1" ht="15.95" customHeight="1" x14ac:dyDescent="0.25">
      <c r="A212" s="62">
        <v>19</v>
      </c>
      <c r="B212" s="15" t="s">
        <v>315</v>
      </c>
      <c r="C212" s="65" t="s">
        <v>101</v>
      </c>
      <c r="D212" s="26" t="s">
        <v>318</v>
      </c>
      <c r="E212" s="27" t="s">
        <v>5</v>
      </c>
      <c r="F212" s="47">
        <v>126894</v>
      </c>
      <c r="G212" s="47">
        <v>65334</v>
      </c>
      <c r="H212" s="47">
        <v>61560</v>
      </c>
      <c r="I212" s="47">
        <v>12116</v>
      </c>
      <c r="J212" s="47">
        <v>6221</v>
      </c>
      <c r="K212" s="47">
        <v>5895</v>
      </c>
      <c r="L212" s="47">
        <v>93578</v>
      </c>
      <c r="M212" s="47">
        <v>52118</v>
      </c>
      <c r="N212" s="47">
        <v>41460</v>
      </c>
      <c r="O212" s="29">
        <f t="shared" si="15"/>
        <v>942</v>
      </c>
      <c r="P212" s="29">
        <f t="shared" si="16"/>
        <v>948</v>
      </c>
      <c r="Q212" s="30">
        <f t="shared" si="17"/>
        <v>81.53</v>
      </c>
      <c r="R212" s="30">
        <f t="shared" si="18"/>
        <v>88.17</v>
      </c>
      <c r="S212" s="30">
        <f t="shared" si="19"/>
        <v>74.48</v>
      </c>
    </row>
    <row r="213" spans="1:19" s="5" customFormat="1" ht="15.95" customHeight="1" x14ac:dyDescent="0.25">
      <c r="A213" s="62">
        <v>19</v>
      </c>
      <c r="B213" s="15" t="s">
        <v>315</v>
      </c>
      <c r="C213" s="62" t="s">
        <v>57</v>
      </c>
      <c r="D213" s="26" t="s">
        <v>317</v>
      </c>
      <c r="E213" s="27" t="s">
        <v>5</v>
      </c>
      <c r="F213" s="47">
        <v>122875</v>
      </c>
      <c r="G213" s="47">
        <v>62734</v>
      </c>
      <c r="H213" s="47">
        <v>60141</v>
      </c>
      <c r="I213" s="47">
        <v>16299</v>
      </c>
      <c r="J213" s="47">
        <v>8334</v>
      </c>
      <c r="K213" s="47">
        <v>7965</v>
      </c>
      <c r="L213" s="47">
        <v>80689</v>
      </c>
      <c r="M213" s="47">
        <v>43428</v>
      </c>
      <c r="N213" s="47">
        <v>37261</v>
      </c>
      <c r="O213" s="29">
        <f t="shared" si="15"/>
        <v>959</v>
      </c>
      <c r="P213" s="29">
        <f t="shared" si="16"/>
        <v>956</v>
      </c>
      <c r="Q213" s="30">
        <f t="shared" si="17"/>
        <v>75.709999999999994</v>
      </c>
      <c r="R213" s="30">
        <f t="shared" si="18"/>
        <v>79.83</v>
      </c>
      <c r="S213" s="30">
        <f t="shared" si="19"/>
        <v>71.41</v>
      </c>
    </row>
    <row r="214" spans="1:19" s="5" customFormat="1" ht="15.95" customHeight="1" x14ac:dyDescent="0.25">
      <c r="A214" s="62">
        <v>19</v>
      </c>
      <c r="B214" s="15" t="s">
        <v>315</v>
      </c>
      <c r="C214" s="65" t="s">
        <v>48</v>
      </c>
      <c r="D214" s="46" t="s">
        <v>316</v>
      </c>
      <c r="E214" s="36" t="s">
        <v>0</v>
      </c>
      <c r="F214" s="47">
        <v>110668</v>
      </c>
      <c r="G214" s="47">
        <v>56416</v>
      </c>
      <c r="H214" s="47">
        <v>54252</v>
      </c>
      <c r="I214" s="47">
        <v>8452</v>
      </c>
      <c r="J214" s="47">
        <v>4387</v>
      </c>
      <c r="K214" s="47">
        <v>4065</v>
      </c>
      <c r="L214" s="47">
        <v>92253</v>
      </c>
      <c r="M214" s="47">
        <v>48799</v>
      </c>
      <c r="N214" s="47">
        <v>43454</v>
      </c>
      <c r="O214" s="29">
        <f t="shared" si="15"/>
        <v>962</v>
      </c>
      <c r="P214" s="29">
        <f t="shared" si="16"/>
        <v>927</v>
      </c>
      <c r="Q214" s="30">
        <f t="shared" si="17"/>
        <v>90.25</v>
      </c>
      <c r="R214" s="30">
        <f t="shared" si="18"/>
        <v>93.79</v>
      </c>
      <c r="S214" s="30">
        <f t="shared" si="19"/>
        <v>86.58</v>
      </c>
    </row>
    <row r="215" spans="1:19" s="5" customFormat="1" ht="15.95" customHeight="1" x14ac:dyDescent="0.25">
      <c r="A215" s="62">
        <v>19</v>
      </c>
      <c r="B215" s="15" t="s">
        <v>315</v>
      </c>
      <c r="C215" s="62" t="s">
        <v>2</v>
      </c>
      <c r="D215" s="26" t="s">
        <v>314</v>
      </c>
      <c r="E215" s="27" t="s">
        <v>5</v>
      </c>
      <c r="F215" s="47">
        <v>106760</v>
      </c>
      <c r="G215" s="47">
        <v>53803</v>
      </c>
      <c r="H215" s="47">
        <v>52957</v>
      </c>
      <c r="I215" s="47">
        <v>7910</v>
      </c>
      <c r="J215" s="47">
        <v>4053</v>
      </c>
      <c r="K215" s="47">
        <v>3857</v>
      </c>
      <c r="L215" s="47">
        <v>90698</v>
      </c>
      <c r="M215" s="47">
        <v>47016</v>
      </c>
      <c r="N215" s="47">
        <v>43682</v>
      </c>
      <c r="O215" s="29">
        <f t="shared" si="15"/>
        <v>984</v>
      </c>
      <c r="P215" s="29">
        <f t="shared" si="16"/>
        <v>952</v>
      </c>
      <c r="Q215" s="30">
        <f t="shared" si="17"/>
        <v>91.75</v>
      </c>
      <c r="R215" s="30">
        <f t="shared" si="18"/>
        <v>94.5</v>
      </c>
      <c r="S215" s="30">
        <f t="shared" si="19"/>
        <v>88.97</v>
      </c>
    </row>
    <row r="216" spans="1:19" s="5" customFormat="1" ht="15.95" customHeight="1" x14ac:dyDescent="0.25">
      <c r="A216" s="24" t="s">
        <v>18</v>
      </c>
      <c r="B216" s="15" t="s">
        <v>302</v>
      </c>
      <c r="C216" s="40" t="s">
        <v>313</v>
      </c>
      <c r="D216" s="32" t="s">
        <v>312</v>
      </c>
      <c r="E216" s="27" t="s">
        <v>5</v>
      </c>
      <c r="F216" s="33">
        <v>1337131</v>
      </c>
      <c r="G216" s="33">
        <v>696858</v>
      </c>
      <c r="H216" s="33">
        <v>640273</v>
      </c>
      <c r="I216" s="33">
        <v>153872</v>
      </c>
      <c r="J216" s="33">
        <v>81190</v>
      </c>
      <c r="K216" s="33">
        <v>72682</v>
      </c>
      <c r="L216" s="33">
        <v>1016910</v>
      </c>
      <c r="M216" s="33">
        <v>562304</v>
      </c>
      <c r="N216" s="33">
        <v>454606</v>
      </c>
      <c r="O216" s="29">
        <f t="shared" si="15"/>
        <v>919</v>
      </c>
      <c r="P216" s="29">
        <f t="shared" si="16"/>
        <v>895</v>
      </c>
      <c r="Q216" s="30">
        <f t="shared" si="17"/>
        <v>85.94</v>
      </c>
      <c r="R216" s="30">
        <f t="shared" si="18"/>
        <v>91.33</v>
      </c>
      <c r="S216" s="30">
        <f t="shared" si="19"/>
        <v>80.09</v>
      </c>
    </row>
    <row r="217" spans="1:19" s="5" customFormat="1" ht="15.95" customHeight="1" x14ac:dyDescent="0.25">
      <c r="A217" s="24" t="s">
        <v>18</v>
      </c>
      <c r="B217" s="15" t="s">
        <v>302</v>
      </c>
      <c r="C217" s="40" t="s">
        <v>55</v>
      </c>
      <c r="D217" s="32" t="s">
        <v>311</v>
      </c>
      <c r="E217" s="27" t="s">
        <v>5</v>
      </c>
      <c r="F217" s="33">
        <v>1195298</v>
      </c>
      <c r="G217" s="33">
        <v>633363</v>
      </c>
      <c r="H217" s="33">
        <v>561935</v>
      </c>
      <c r="I217" s="33">
        <v>151010</v>
      </c>
      <c r="J217" s="33">
        <v>79216</v>
      </c>
      <c r="K217" s="33">
        <v>71794</v>
      </c>
      <c r="L217" s="33">
        <v>842117</v>
      </c>
      <c r="M217" s="33">
        <v>486970</v>
      </c>
      <c r="N217" s="33">
        <v>355147</v>
      </c>
      <c r="O217" s="29">
        <f t="shared" si="15"/>
        <v>887</v>
      </c>
      <c r="P217" s="29">
        <f t="shared" si="16"/>
        <v>906</v>
      </c>
      <c r="Q217" s="30">
        <f t="shared" si="17"/>
        <v>80.64</v>
      </c>
      <c r="R217" s="30">
        <f t="shared" si="18"/>
        <v>87.88</v>
      </c>
      <c r="S217" s="30">
        <f t="shared" si="19"/>
        <v>72.459999999999994</v>
      </c>
    </row>
    <row r="218" spans="1:19" s="5" customFormat="1" ht="15.95" customHeight="1" x14ac:dyDescent="0.25">
      <c r="A218" s="24" t="s">
        <v>18</v>
      </c>
      <c r="B218" s="15" t="s">
        <v>302</v>
      </c>
      <c r="C218" s="40">
        <v>19</v>
      </c>
      <c r="D218" s="32" t="s">
        <v>310</v>
      </c>
      <c r="E218" s="27" t="s">
        <v>5</v>
      </c>
      <c r="F218" s="33">
        <v>1126741</v>
      </c>
      <c r="G218" s="33">
        <v>586634</v>
      </c>
      <c r="H218" s="33">
        <v>540107</v>
      </c>
      <c r="I218" s="33">
        <v>128541</v>
      </c>
      <c r="J218" s="33">
        <v>67682</v>
      </c>
      <c r="K218" s="33">
        <v>60859</v>
      </c>
      <c r="L218" s="33">
        <v>882634</v>
      </c>
      <c r="M218" s="33">
        <v>481976</v>
      </c>
      <c r="N218" s="33">
        <v>400658</v>
      </c>
      <c r="O218" s="29">
        <f t="shared" si="15"/>
        <v>921</v>
      </c>
      <c r="P218" s="29">
        <f t="shared" si="16"/>
        <v>899</v>
      </c>
      <c r="Q218" s="30">
        <f t="shared" si="17"/>
        <v>88.42</v>
      </c>
      <c r="R218" s="30">
        <f t="shared" si="18"/>
        <v>92.87</v>
      </c>
      <c r="S218" s="30">
        <f t="shared" si="19"/>
        <v>83.6</v>
      </c>
    </row>
    <row r="219" spans="1:19" s="5" customFormat="1" ht="15.95" customHeight="1" x14ac:dyDescent="0.25">
      <c r="A219" s="24" t="s">
        <v>18</v>
      </c>
      <c r="B219" s="15" t="s">
        <v>302</v>
      </c>
      <c r="C219" s="40" t="s">
        <v>41</v>
      </c>
      <c r="D219" s="32" t="s">
        <v>309</v>
      </c>
      <c r="E219" s="27" t="s">
        <v>5</v>
      </c>
      <c r="F219" s="33">
        <v>563417</v>
      </c>
      <c r="G219" s="33">
        <v>299232</v>
      </c>
      <c r="H219" s="33">
        <v>264185</v>
      </c>
      <c r="I219" s="33">
        <v>67672</v>
      </c>
      <c r="J219" s="33">
        <v>36058</v>
      </c>
      <c r="K219" s="33">
        <v>31614</v>
      </c>
      <c r="L219" s="33">
        <v>420736</v>
      </c>
      <c r="M219" s="33">
        <v>242827</v>
      </c>
      <c r="N219" s="33">
        <v>177909</v>
      </c>
      <c r="O219" s="29">
        <f t="shared" si="15"/>
        <v>883</v>
      </c>
      <c r="P219" s="29">
        <f t="shared" si="16"/>
        <v>877</v>
      </c>
      <c r="Q219" s="30">
        <f t="shared" si="17"/>
        <v>84.87</v>
      </c>
      <c r="R219" s="30">
        <f t="shared" si="18"/>
        <v>92.27</v>
      </c>
      <c r="S219" s="30">
        <f t="shared" si="19"/>
        <v>76.5</v>
      </c>
    </row>
    <row r="220" spans="1:19" s="5" customFormat="1" ht="15.95" customHeight="1" x14ac:dyDescent="0.25">
      <c r="A220" s="24" t="s">
        <v>18</v>
      </c>
      <c r="B220" s="15" t="s">
        <v>302</v>
      </c>
      <c r="C220" s="40" t="s">
        <v>25</v>
      </c>
      <c r="D220" s="32" t="s">
        <v>308</v>
      </c>
      <c r="E220" s="36" t="s">
        <v>0</v>
      </c>
      <c r="F220" s="33">
        <v>203116</v>
      </c>
      <c r="G220" s="33">
        <v>108243</v>
      </c>
      <c r="H220" s="33">
        <v>94873</v>
      </c>
      <c r="I220" s="33">
        <v>25929</v>
      </c>
      <c r="J220" s="33">
        <v>13907</v>
      </c>
      <c r="K220" s="33">
        <v>12022</v>
      </c>
      <c r="L220" s="33">
        <v>153807</v>
      </c>
      <c r="M220" s="33">
        <v>87540</v>
      </c>
      <c r="N220" s="33">
        <v>66267</v>
      </c>
      <c r="O220" s="29">
        <f t="shared" si="15"/>
        <v>876</v>
      </c>
      <c r="P220" s="29">
        <f t="shared" si="16"/>
        <v>864</v>
      </c>
      <c r="Q220" s="30">
        <f t="shared" si="17"/>
        <v>86.8</v>
      </c>
      <c r="R220" s="30">
        <f t="shared" si="18"/>
        <v>92.8</v>
      </c>
      <c r="S220" s="30">
        <f t="shared" si="19"/>
        <v>79.98</v>
      </c>
    </row>
    <row r="221" spans="1:19" s="5" customFormat="1" ht="15.95" customHeight="1" x14ac:dyDescent="0.25">
      <c r="A221" s="24" t="s">
        <v>18</v>
      </c>
      <c r="B221" s="15" t="s">
        <v>302</v>
      </c>
      <c r="C221" s="40" t="s">
        <v>41</v>
      </c>
      <c r="D221" s="32" t="s">
        <v>307</v>
      </c>
      <c r="E221" s="27" t="s">
        <v>5</v>
      </c>
      <c r="F221" s="33">
        <v>186139</v>
      </c>
      <c r="G221" s="33">
        <v>97665</v>
      </c>
      <c r="H221" s="33">
        <v>88474</v>
      </c>
      <c r="I221" s="33">
        <v>22125</v>
      </c>
      <c r="J221" s="33">
        <v>11728</v>
      </c>
      <c r="K221" s="33">
        <v>10397</v>
      </c>
      <c r="L221" s="33">
        <v>131202</v>
      </c>
      <c r="M221" s="33">
        <v>75847</v>
      </c>
      <c r="N221" s="33">
        <v>55355</v>
      </c>
      <c r="O221" s="29">
        <f t="shared" si="15"/>
        <v>906</v>
      </c>
      <c r="P221" s="29">
        <f t="shared" si="16"/>
        <v>887</v>
      </c>
      <c r="Q221" s="30">
        <f t="shared" si="17"/>
        <v>79.989999999999995</v>
      </c>
      <c r="R221" s="30">
        <f t="shared" si="18"/>
        <v>88.26</v>
      </c>
      <c r="S221" s="30">
        <f t="shared" si="19"/>
        <v>70.900000000000006</v>
      </c>
    </row>
    <row r="222" spans="1:19" s="5" customFormat="1" ht="15.95" customHeight="1" x14ac:dyDescent="0.25">
      <c r="A222" s="24" t="s">
        <v>18</v>
      </c>
      <c r="B222" s="15" t="s">
        <v>302</v>
      </c>
      <c r="C222" s="40">
        <v>15</v>
      </c>
      <c r="D222" s="32" t="s">
        <v>306</v>
      </c>
      <c r="E222" s="27" t="s">
        <v>5</v>
      </c>
      <c r="F222" s="33">
        <v>153599</v>
      </c>
      <c r="G222" s="33">
        <v>80095</v>
      </c>
      <c r="H222" s="33">
        <v>73504</v>
      </c>
      <c r="I222" s="33">
        <v>17276</v>
      </c>
      <c r="J222" s="33">
        <v>9108</v>
      </c>
      <c r="K222" s="33">
        <v>8168</v>
      </c>
      <c r="L222" s="33">
        <v>122881</v>
      </c>
      <c r="M222" s="33">
        <v>66602</v>
      </c>
      <c r="N222" s="33">
        <v>56279</v>
      </c>
      <c r="O222" s="29">
        <f t="shared" si="15"/>
        <v>918</v>
      </c>
      <c r="P222" s="29">
        <f t="shared" si="16"/>
        <v>897</v>
      </c>
      <c r="Q222" s="30">
        <f t="shared" si="17"/>
        <v>90.14</v>
      </c>
      <c r="R222" s="30">
        <f t="shared" si="18"/>
        <v>93.82</v>
      </c>
      <c r="S222" s="30">
        <f t="shared" si="19"/>
        <v>86.14</v>
      </c>
    </row>
    <row r="223" spans="1:19" s="5" customFormat="1" ht="15.95" customHeight="1" x14ac:dyDescent="0.25">
      <c r="A223" s="24" t="s">
        <v>18</v>
      </c>
      <c r="B223" s="15" t="s">
        <v>302</v>
      </c>
      <c r="C223" s="40" t="s">
        <v>15</v>
      </c>
      <c r="D223" s="32" t="s">
        <v>305</v>
      </c>
      <c r="E223" s="27" t="s">
        <v>5</v>
      </c>
      <c r="F223" s="33">
        <v>143529</v>
      </c>
      <c r="G223" s="33">
        <v>74841</v>
      </c>
      <c r="H223" s="33">
        <v>68688</v>
      </c>
      <c r="I223" s="33">
        <v>20658</v>
      </c>
      <c r="J223" s="33">
        <v>10856</v>
      </c>
      <c r="K223" s="33">
        <v>9802</v>
      </c>
      <c r="L223" s="33">
        <v>101256</v>
      </c>
      <c r="M223" s="33">
        <v>55951</v>
      </c>
      <c r="N223" s="33">
        <v>45305</v>
      </c>
      <c r="O223" s="29">
        <f t="shared" si="15"/>
        <v>918</v>
      </c>
      <c r="P223" s="29">
        <f t="shared" si="16"/>
        <v>903</v>
      </c>
      <c r="Q223" s="30">
        <f t="shared" si="17"/>
        <v>82.41</v>
      </c>
      <c r="R223" s="30">
        <f t="shared" si="18"/>
        <v>87.44</v>
      </c>
      <c r="S223" s="30">
        <f t="shared" si="19"/>
        <v>76.94</v>
      </c>
    </row>
    <row r="224" spans="1:19" s="5" customFormat="1" ht="15.95" customHeight="1" x14ac:dyDescent="0.25">
      <c r="A224" s="24" t="s">
        <v>18</v>
      </c>
      <c r="B224" s="15" t="s">
        <v>302</v>
      </c>
      <c r="C224" s="40">
        <v>16</v>
      </c>
      <c r="D224" s="32" t="s">
        <v>304</v>
      </c>
      <c r="E224" s="27" t="s">
        <v>5</v>
      </c>
      <c r="F224" s="33">
        <v>132441</v>
      </c>
      <c r="G224" s="33">
        <v>70879</v>
      </c>
      <c r="H224" s="33">
        <v>61562</v>
      </c>
      <c r="I224" s="33">
        <v>17086</v>
      </c>
      <c r="J224" s="33">
        <v>9082</v>
      </c>
      <c r="K224" s="33">
        <v>8004</v>
      </c>
      <c r="L224" s="33">
        <v>95714</v>
      </c>
      <c r="M224" s="33">
        <v>55352</v>
      </c>
      <c r="N224" s="33">
        <v>40362</v>
      </c>
      <c r="O224" s="29">
        <f t="shared" si="15"/>
        <v>869</v>
      </c>
      <c r="P224" s="29">
        <f t="shared" si="16"/>
        <v>881</v>
      </c>
      <c r="Q224" s="30">
        <f t="shared" si="17"/>
        <v>82.97</v>
      </c>
      <c r="R224" s="30">
        <f t="shared" si="18"/>
        <v>89.57</v>
      </c>
      <c r="S224" s="30">
        <f t="shared" si="19"/>
        <v>75.36</v>
      </c>
    </row>
    <row r="225" spans="1:19" s="5" customFormat="1" ht="15.95" customHeight="1" x14ac:dyDescent="0.25">
      <c r="A225" s="24" t="s">
        <v>18</v>
      </c>
      <c r="B225" s="15" t="s">
        <v>302</v>
      </c>
      <c r="C225" s="40">
        <v>13</v>
      </c>
      <c r="D225" s="32" t="s">
        <v>303</v>
      </c>
      <c r="E225" s="27" t="s">
        <v>5</v>
      </c>
      <c r="F225" s="33">
        <v>119972</v>
      </c>
      <c r="G225" s="33">
        <v>63244</v>
      </c>
      <c r="H225" s="33">
        <v>56728</v>
      </c>
      <c r="I225" s="33">
        <v>13752</v>
      </c>
      <c r="J225" s="33">
        <v>7199</v>
      </c>
      <c r="K225" s="33">
        <v>6553</v>
      </c>
      <c r="L225" s="33">
        <v>94361</v>
      </c>
      <c r="M225" s="33">
        <v>52392</v>
      </c>
      <c r="N225" s="33">
        <v>41969</v>
      </c>
      <c r="O225" s="29">
        <f t="shared" si="15"/>
        <v>897</v>
      </c>
      <c r="P225" s="29">
        <f t="shared" si="16"/>
        <v>910</v>
      </c>
      <c r="Q225" s="30">
        <f t="shared" si="17"/>
        <v>88.84</v>
      </c>
      <c r="R225" s="30">
        <f t="shared" si="18"/>
        <v>93.48</v>
      </c>
      <c r="S225" s="30">
        <f t="shared" si="19"/>
        <v>83.65</v>
      </c>
    </row>
    <row r="226" spans="1:19" s="5" customFormat="1" ht="15.95" customHeight="1" x14ac:dyDescent="0.25">
      <c r="A226" s="24" t="s">
        <v>18</v>
      </c>
      <c r="B226" s="15" t="s">
        <v>302</v>
      </c>
      <c r="C226" s="40" t="s">
        <v>55</v>
      </c>
      <c r="D226" s="32" t="s">
        <v>301</v>
      </c>
      <c r="E226" s="27" t="s">
        <v>5</v>
      </c>
      <c r="F226" s="33">
        <v>118822</v>
      </c>
      <c r="G226" s="33">
        <v>62394</v>
      </c>
      <c r="H226" s="33">
        <v>56428</v>
      </c>
      <c r="I226" s="33">
        <v>14742</v>
      </c>
      <c r="J226" s="33">
        <v>7762</v>
      </c>
      <c r="K226" s="33">
        <v>6980</v>
      </c>
      <c r="L226" s="33">
        <v>80168</v>
      </c>
      <c r="M226" s="33">
        <v>46038</v>
      </c>
      <c r="N226" s="33">
        <v>34130</v>
      </c>
      <c r="O226" s="29">
        <f t="shared" si="15"/>
        <v>904</v>
      </c>
      <c r="P226" s="29">
        <f t="shared" si="16"/>
        <v>899</v>
      </c>
      <c r="Q226" s="30">
        <f t="shared" si="17"/>
        <v>77.03</v>
      </c>
      <c r="R226" s="30">
        <f t="shared" si="18"/>
        <v>84.27</v>
      </c>
      <c r="S226" s="30">
        <f t="shared" si="19"/>
        <v>69.02</v>
      </c>
    </row>
    <row r="227" spans="1:19" s="5" customFormat="1" ht="15.95" customHeight="1" x14ac:dyDescent="0.25">
      <c r="A227" s="24" t="s">
        <v>32</v>
      </c>
      <c r="B227" s="15" t="s">
        <v>292</v>
      </c>
      <c r="C227" s="67" t="s">
        <v>11</v>
      </c>
      <c r="D227" s="68" t="s">
        <v>300</v>
      </c>
      <c r="E227" s="27" t="s">
        <v>5</v>
      </c>
      <c r="F227" s="69">
        <v>881988</v>
      </c>
      <c r="G227" s="69">
        <v>468302</v>
      </c>
      <c r="H227" s="69">
        <v>413686</v>
      </c>
      <c r="I227" s="69">
        <v>79706</v>
      </c>
      <c r="J227" s="69">
        <v>41875</v>
      </c>
      <c r="K227" s="69">
        <v>37831</v>
      </c>
      <c r="L227" s="69">
        <v>746162</v>
      </c>
      <c r="M227" s="69">
        <v>407910</v>
      </c>
      <c r="N227" s="69">
        <v>338252</v>
      </c>
      <c r="O227" s="29">
        <f t="shared" si="15"/>
        <v>883</v>
      </c>
      <c r="P227" s="29">
        <f t="shared" si="16"/>
        <v>903</v>
      </c>
      <c r="Q227" s="30">
        <f t="shared" si="17"/>
        <v>93</v>
      </c>
      <c r="R227" s="30">
        <f t="shared" si="18"/>
        <v>95.66</v>
      </c>
      <c r="S227" s="30">
        <f t="shared" si="19"/>
        <v>90</v>
      </c>
    </row>
    <row r="228" spans="1:19" s="5" customFormat="1" ht="15.95" customHeight="1" x14ac:dyDescent="0.25">
      <c r="A228" s="24" t="s">
        <v>32</v>
      </c>
      <c r="B228" s="15" t="s">
        <v>292</v>
      </c>
      <c r="C228" s="67" t="s">
        <v>43</v>
      </c>
      <c r="D228" s="68" t="s">
        <v>299</v>
      </c>
      <c r="E228" s="27" t="s">
        <v>5</v>
      </c>
      <c r="F228" s="69">
        <v>658986</v>
      </c>
      <c r="G228" s="69">
        <v>331246</v>
      </c>
      <c r="H228" s="69">
        <v>327740</v>
      </c>
      <c r="I228" s="69">
        <v>53760</v>
      </c>
      <c r="J228" s="69">
        <v>28089</v>
      </c>
      <c r="K228" s="69">
        <v>25671</v>
      </c>
      <c r="L228" s="69">
        <v>550935</v>
      </c>
      <c r="M228" s="69">
        <v>295792</v>
      </c>
      <c r="N228" s="69">
        <v>255143</v>
      </c>
      <c r="O228" s="29">
        <f t="shared" si="15"/>
        <v>989</v>
      </c>
      <c r="P228" s="29">
        <f t="shared" si="16"/>
        <v>914</v>
      </c>
      <c r="Q228" s="30">
        <f t="shared" si="17"/>
        <v>91.03</v>
      </c>
      <c r="R228" s="30">
        <f t="shared" si="18"/>
        <v>97.57</v>
      </c>
      <c r="S228" s="30">
        <f t="shared" si="19"/>
        <v>84.47</v>
      </c>
    </row>
    <row r="229" spans="1:19" s="5" customFormat="1" ht="15.95" customHeight="1" x14ac:dyDescent="0.25">
      <c r="A229" s="24" t="s">
        <v>32</v>
      </c>
      <c r="B229" s="15" t="s">
        <v>292</v>
      </c>
      <c r="C229" s="67" t="s">
        <v>25</v>
      </c>
      <c r="D229" s="68" t="s">
        <v>298</v>
      </c>
      <c r="E229" s="27" t="s">
        <v>5</v>
      </c>
      <c r="F229" s="69">
        <v>552970</v>
      </c>
      <c r="G229" s="69">
        <v>291027</v>
      </c>
      <c r="H229" s="69">
        <v>261943</v>
      </c>
      <c r="I229" s="69">
        <v>56950</v>
      </c>
      <c r="J229" s="69">
        <v>30088</v>
      </c>
      <c r="K229" s="69">
        <v>26862</v>
      </c>
      <c r="L229" s="69">
        <v>431080</v>
      </c>
      <c r="M229" s="69">
        <v>239588</v>
      </c>
      <c r="N229" s="69">
        <v>191492</v>
      </c>
      <c r="O229" s="29">
        <f t="shared" si="15"/>
        <v>900</v>
      </c>
      <c r="P229" s="29">
        <f t="shared" si="16"/>
        <v>893</v>
      </c>
      <c r="Q229" s="30">
        <f t="shared" si="17"/>
        <v>86.91</v>
      </c>
      <c r="R229" s="30">
        <f t="shared" si="18"/>
        <v>91.82</v>
      </c>
      <c r="S229" s="30">
        <f t="shared" si="19"/>
        <v>81.459999999999994</v>
      </c>
    </row>
    <row r="230" spans="1:19" s="5" customFormat="1" ht="15.95" customHeight="1" x14ac:dyDescent="0.25">
      <c r="A230" s="24" t="s">
        <v>32</v>
      </c>
      <c r="B230" s="15" t="s">
        <v>292</v>
      </c>
      <c r="C230" s="67" t="s">
        <v>27</v>
      </c>
      <c r="D230" s="68" t="s">
        <v>297</v>
      </c>
      <c r="E230" s="36" t="s">
        <v>0</v>
      </c>
      <c r="F230" s="69">
        <v>355823</v>
      </c>
      <c r="G230" s="69">
        <v>185584</v>
      </c>
      <c r="H230" s="69">
        <v>170239</v>
      </c>
      <c r="I230" s="69">
        <v>29509</v>
      </c>
      <c r="J230" s="69">
        <v>15544</v>
      </c>
      <c r="K230" s="69">
        <v>13965</v>
      </c>
      <c r="L230" s="69">
        <v>293818</v>
      </c>
      <c r="M230" s="69">
        <v>159550</v>
      </c>
      <c r="N230" s="69">
        <v>134268</v>
      </c>
      <c r="O230" s="29">
        <f t="shared" si="15"/>
        <v>917</v>
      </c>
      <c r="P230" s="29">
        <f t="shared" si="16"/>
        <v>898</v>
      </c>
      <c r="Q230" s="30">
        <f t="shared" si="17"/>
        <v>90.04</v>
      </c>
      <c r="R230" s="30">
        <f t="shared" si="18"/>
        <v>93.83</v>
      </c>
      <c r="S230" s="30">
        <f t="shared" si="19"/>
        <v>85.92</v>
      </c>
    </row>
    <row r="231" spans="1:19" s="5" customFormat="1" ht="15.95" customHeight="1" x14ac:dyDescent="0.25">
      <c r="A231" s="24" t="s">
        <v>32</v>
      </c>
      <c r="B231" s="15" t="s">
        <v>292</v>
      </c>
      <c r="C231" s="67" t="s">
        <v>2</v>
      </c>
      <c r="D231" s="68" t="s">
        <v>296</v>
      </c>
      <c r="E231" s="27" t="s">
        <v>5</v>
      </c>
      <c r="F231" s="69">
        <v>269575</v>
      </c>
      <c r="G231" s="69">
        <v>138826</v>
      </c>
      <c r="H231" s="69">
        <v>130749</v>
      </c>
      <c r="I231" s="69">
        <v>27510</v>
      </c>
      <c r="J231" s="69">
        <v>14560</v>
      </c>
      <c r="K231" s="69">
        <v>12950</v>
      </c>
      <c r="L231" s="69">
        <v>207430</v>
      </c>
      <c r="M231" s="69">
        <v>112937</v>
      </c>
      <c r="N231" s="69">
        <v>94493</v>
      </c>
      <c r="O231" s="29">
        <f t="shared" si="15"/>
        <v>942</v>
      </c>
      <c r="P231" s="29">
        <f t="shared" si="16"/>
        <v>889</v>
      </c>
      <c r="Q231" s="30">
        <f t="shared" si="17"/>
        <v>85.69</v>
      </c>
      <c r="R231" s="30">
        <f t="shared" si="18"/>
        <v>90.88</v>
      </c>
      <c r="S231" s="30">
        <f t="shared" si="19"/>
        <v>80.22</v>
      </c>
    </row>
    <row r="232" spans="1:19" s="5" customFormat="1" ht="15.95" customHeight="1" x14ac:dyDescent="0.25">
      <c r="A232" s="24" t="s">
        <v>32</v>
      </c>
      <c r="B232" s="15" t="s">
        <v>292</v>
      </c>
      <c r="C232" s="70" t="s">
        <v>123</v>
      </c>
      <c r="D232" s="68" t="s">
        <v>295</v>
      </c>
      <c r="E232" s="36" t="s">
        <v>0</v>
      </c>
      <c r="F232" s="69">
        <v>201026</v>
      </c>
      <c r="G232" s="69">
        <v>104267</v>
      </c>
      <c r="H232" s="69">
        <v>96759</v>
      </c>
      <c r="I232" s="69">
        <v>17000</v>
      </c>
      <c r="J232" s="69">
        <v>8939</v>
      </c>
      <c r="K232" s="69">
        <v>8061</v>
      </c>
      <c r="L232" s="69">
        <v>164481</v>
      </c>
      <c r="M232" s="69">
        <v>88504</v>
      </c>
      <c r="N232" s="69">
        <v>75977</v>
      </c>
      <c r="O232" s="29">
        <f t="shared" si="15"/>
        <v>928</v>
      </c>
      <c r="P232" s="29">
        <f t="shared" si="16"/>
        <v>902</v>
      </c>
      <c r="Q232" s="30">
        <f t="shared" si="17"/>
        <v>89.38</v>
      </c>
      <c r="R232" s="30">
        <f t="shared" si="18"/>
        <v>92.84</v>
      </c>
      <c r="S232" s="30">
        <f t="shared" si="19"/>
        <v>85.66</v>
      </c>
    </row>
    <row r="233" spans="1:19" s="5" customFormat="1" ht="15.95" customHeight="1" x14ac:dyDescent="0.25">
      <c r="A233" s="24" t="s">
        <v>32</v>
      </c>
      <c r="B233" s="15" t="s">
        <v>292</v>
      </c>
      <c r="C233" s="67" t="s">
        <v>34</v>
      </c>
      <c r="D233" s="68" t="s">
        <v>294</v>
      </c>
      <c r="E233" s="27" t="s">
        <v>5</v>
      </c>
      <c r="F233" s="69">
        <v>177557</v>
      </c>
      <c r="G233" s="69">
        <v>90750</v>
      </c>
      <c r="H233" s="69">
        <v>86807</v>
      </c>
      <c r="I233" s="69">
        <v>17911</v>
      </c>
      <c r="J233" s="69">
        <v>9165</v>
      </c>
      <c r="K233" s="69">
        <v>8746</v>
      </c>
      <c r="L233" s="69">
        <v>138215</v>
      </c>
      <c r="M233" s="69">
        <v>73888</v>
      </c>
      <c r="N233" s="69">
        <v>64327</v>
      </c>
      <c r="O233" s="29">
        <f t="shared" si="15"/>
        <v>957</v>
      </c>
      <c r="P233" s="29">
        <f t="shared" si="16"/>
        <v>954</v>
      </c>
      <c r="Q233" s="30">
        <f t="shared" si="17"/>
        <v>86.58</v>
      </c>
      <c r="R233" s="30">
        <f t="shared" si="18"/>
        <v>90.57</v>
      </c>
      <c r="S233" s="30">
        <f t="shared" si="19"/>
        <v>82.41</v>
      </c>
    </row>
    <row r="234" spans="1:19" s="5" customFormat="1" ht="15.95" customHeight="1" x14ac:dyDescent="0.25">
      <c r="A234" s="24" t="s">
        <v>32</v>
      </c>
      <c r="B234" s="15" t="s">
        <v>292</v>
      </c>
      <c r="C234" s="70" t="s">
        <v>55</v>
      </c>
      <c r="D234" s="68" t="s">
        <v>293</v>
      </c>
      <c r="E234" s="27" t="s">
        <v>5</v>
      </c>
      <c r="F234" s="69">
        <v>129152</v>
      </c>
      <c r="G234" s="69">
        <v>66368</v>
      </c>
      <c r="H234" s="69">
        <v>62784</v>
      </c>
      <c r="I234" s="69">
        <v>14492</v>
      </c>
      <c r="J234" s="69">
        <v>7449</v>
      </c>
      <c r="K234" s="69">
        <v>7043</v>
      </c>
      <c r="L234" s="69">
        <v>93121</v>
      </c>
      <c r="M234" s="69">
        <v>50550</v>
      </c>
      <c r="N234" s="69">
        <v>42571</v>
      </c>
      <c r="O234" s="29">
        <f t="shared" si="15"/>
        <v>946</v>
      </c>
      <c r="P234" s="29">
        <f t="shared" si="16"/>
        <v>945</v>
      </c>
      <c r="Q234" s="30">
        <f t="shared" si="17"/>
        <v>81.209999999999994</v>
      </c>
      <c r="R234" s="30">
        <f t="shared" si="18"/>
        <v>85.8</v>
      </c>
      <c r="S234" s="30">
        <f t="shared" si="19"/>
        <v>76.37</v>
      </c>
    </row>
    <row r="235" spans="1:19" s="5" customFormat="1" ht="15.95" customHeight="1" x14ac:dyDescent="0.25">
      <c r="A235" s="24" t="s">
        <v>32</v>
      </c>
      <c r="B235" s="15" t="s">
        <v>292</v>
      </c>
      <c r="C235" s="67" t="s">
        <v>57</v>
      </c>
      <c r="D235" s="68" t="s">
        <v>291</v>
      </c>
      <c r="E235" s="27" t="s">
        <v>5</v>
      </c>
      <c r="F235" s="69">
        <v>116874</v>
      </c>
      <c r="G235" s="69">
        <v>60535</v>
      </c>
      <c r="H235" s="69">
        <v>56339</v>
      </c>
      <c r="I235" s="69">
        <v>10688</v>
      </c>
      <c r="J235" s="69">
        <v>5629</v>
      </c>
      <c r="K235" s="69">
        <v>5059</v>
      </c>
      <c r="L235" s="69">
        <v>93463</v>
      </c>
      <c r="M235" s="69">
        <v>50763</v>
      </c>
      <c r="N235" s="69">
        <v>42700</v>
      </c>
      <c r="O235" s="29">
        <f t="shared" si="15"/>
        <v>931</v>
      </c>
      <c r="P235" s="29">
        <f t="shared" si="16"/>
        <v>899</v>
      </c>
      <c r="Q235" s="30">
        <f t="shared" si="17"/>
        <v>88.02</v>
      </c>
      <c r="R235" s="30">
        <f t="shared" si="18"/>
        <v>92.45</v>
      </c>
      <c r="S235" s="30">
        <f t="shared" si="19"/>
        <v>83.27</v>
      </c>
    </row>
    <row r="236" spans="1:19" s="5" customFormat="1" ht="15.95" customHeight="1" x14ac:dyDescent="0.25">
      <c r="A236" s="24" t="s">
        <v>62</v>
      </c>
      <c r="B236" s="15" t="s">
        <v>282</v>
      </c>
      <c r="C236" s="71" t="s">
        <v>48</v>
      </c>
      <c r="D236" s="41" t="s">
        <v>290</v>
      </c>
      <c r="E236" s="27" t="s">
        <v>5</v>
      </c>
      <c r="F236" s="28">
        <v>1122555</v>
      </c>
      <c r="G236" s="28">
        <v>578339</v>
      </c>
      <c r="H236" s="28">
        <v>544216</v>
      </c>
      <c r="I236" s="28">
        <v>142826</v>
      </c>
      <c r="J236" s="28">
        <v>73940</v>
      </c>
      <c r="K236" s="28">
        <v>68886</v>
      </c>
      <c r="L236" s="28">
        <v>846952</v>
      </c>
      <c r="M236" s="28">
        <v>464669</v>
      </c>
      <c r="N236" s="28">
        <v>382283</v>
      </c>
      <c r="O236" s="29">
        <f t="shared" si="15"/>
        <v>941</v>
      </c>
      <c r="P236" s="29">
        <f t="shared" si="16"/>
        <v>932</v>
      </c>
      <c r="Q236" s="30">
        <f t="shared" si="17"/>
        <v>86.45</v>
      </c>
      <c r="R236" s="30">
        <f t="shared" si="18"/>
        <v>92.12</v>
      </c>
      <c r="S236" s="30">
        <f t="shared" si="19"/>
        <v>80.42</v>
      </c>
    </row>
    <row r="237" spans="1:19" s="5" customFormat="1" ht="15.95" customHeight="1" x14ac:dyDescent="0.25">
      <c r="A237" s="24" t="s">
        <v>62</v>
      </c>
      <c r="B237" s="15" t="s">
        <v>282</v>
      </c>
      <c r="C237" s="71" t="s">
        <v>41</v>
      </c>
      <c r="D237" s="41" t="s">
        <v>289</v>
      </c>
      <c r="E237" s="27" t="s">
        <v>5</v>
      </c>
      <c r="F237" s="28">
        <v>1064077</v>
      </c>
      <c r="G237" s="28">
        <v>545683</v>
      </c>
      <c r="H237" s="28">
        <v>518394</v>
      </c>
      <c r="I237" s="28">
        <v>116977</v>
      </c>
      <c r="J237" s="28">
        <v>60601</v>
      </c>
      <c r="K237" s="28">
        <v>56376</v>
      </c>
      <c r="L237" s="28">
        <v>824189</v>
      </c>
      <c r="M237" s="28">
        <v>451691</v>
      </c>
      <c r="N237" s="28">
        <v>372498</v>
      </c>
      <c r="O237" s="29">
        <f t="shared" si="15"/>
        <v>950</v>
      </c>
      <c r="P237" s="29">
        <f t="shared" si="16"/>
        <v>930</v>
      </c>
      <c r="Q237" s="30">
        <f t="shared" si="17"/>
        <v>87.02</v>
      </c>
      <c r="R237" s="30">
        <f t="shared" si="18"/>
        <v>93.12</v>
      </c>
      <c r="S237" s="30">
        <f t="shared" si="19"/>
        <v>80.62</v>
      </c>
    </row>
    <row r="238" spans="1:19" s="5" customFormat="1" ht="15.95" customHeight="1" x14ac:dyDescent="0.25">
      <c r="A238" s="24" t="s">
        <v>62</v>
      </c>
      <c r="B238" s="15" t="s">
        <v>282</v>
      </c>
      <c r="C238" s="71" t="s">
        <v>57</v>
      </c>
      <c r="D238" s="41" t="s">
        <v>288</v>
      </c>
      <c r="E238" s="27" t="s">
        <v>5</v>
      </c>
      <c r="F238" s="28">
        <v>452851</v>
      </c>
      <c r="G238" s="28">
        <v>232995</v>
      </c>
      <c r="H238" s="28">
        <v>219856</v>
      </c>
      <c r="I238" s="28">
        <v>52550</v>
      </c>
      <c r="J238" s="28">
        <v>27550</v>
      </c>
      <c r="K238" s="28">
        <v>25000</v>
      </c>
      <c r="L238" s="28">
        <v>349406</v>
      </c>
      <c r="M238" s="28">
        <v>190934</v>
      </c>
      <c r="N238" s="28">
        <v>158472</v>
      </c>
      <c r="O238" s="29">
        <f t="shared" si="15"/>
        <v>944</v>
      </c>
      <c r="P238" s="29">
        <f t="shared" si="16"/>
        <v>907</v>
      </c>
      <c r="Q238" s="30">
        <f t="shared" si="17"/>
        <v>87.29</v>
      </c>
      <c r="R238" s="30">
        <f t="shared" si="18"/>
        <v>92.94</v>
      </c>
      <c r="S238" s="30">
        <f t="shared" si="19"/>
        <v>81.33</v>
      </c>
    </row>
    <row r="239" spans="1:19" s="5" customFormat="1" ht="15.95" customHeight="1" x14ac:dyDescent="0.25">
      <c r="A239" s="24" t="s">
        <v>62</v>
      </c>
      <c r="B239" s="15" t="s">
        <v>282</v>
      </c>
      <c r="C239" s="71" t="s">
        <v>25</v>
      </c>
      <c r="D239" s="41" t="s">
        <v>287</v>
      </c>
      <c r="E239" s="27" t="s">
        <v>5</v>
      </c>
      <c r="F239" s="28">
        <v>365073</v>
      </c>
      <c r="G239" s="28">
        <v>189466</v>
      </c>
      <c r="H239" s="28">
        <v>175607</v>
      </c>
      <c r="I239" s="28">
        <v>45529</v>
      </c>
      <c r="J239" s="28">
        <v>23509</v>
      </c>
      <c r="K239" s="28">
        <v>22020</v>
      </c>
      <c r="L239" s="28">
        <v>269557</v>
      </c>
      <c r="M239" s="28">
        <v>152566</v>
      </c>
      <c r="N239" s="28">
        <v>116991</v>
      </c>
      <c r="O239" s="29">
        <f t="shared" si="15"/>
        <v>927</v>
      </c>
      <c r="P239" s="29">
        <f t="shared" si="16"/>
        <v>937</v>
      </c>
      <c r="Q239" s="30">
        <f t="shared" si="17"/>
        <v>84.36</v>
      </c>
      <c r="R239" s="30">
        <f t="shared" si="18"/>
        <v>91.93</v>
      </c>
      <c r="S239" s="30">
        <f t="shared" si="19"/>
        <v>76.17</v>
      </c>
    </row>
    <row r="240" spans="1:19" s="5" customFormat="1" ht="15.95" customHeight="1" x14ac:dyDescent="0.25">
      <c r="A240" s="24" t="s">
        <v>62</v>
      </c>
      <c r="B240" s="15" t="s">
        <v>282</v>
      </c>
      <c r="C240" s="71" t="s">
        <v>55</v>
      </c>
      <c r="D240" s="72" t="s">
        <v>286</v>
      </c>
      <c r="E240" s="36" t="s">
        <v>0</v>
      </c>
      <c r="F240" s="28">
        <v>163122</v>
      </c>
      <c r="G240" s="28">
        <v>81873</v>
      </c>
      <c r="H240" s="28">
        <v>81249</v>
      </c>
      <c r="I240" s="28">
        <v>18677</v>
      </c>
      <c r="J240" s="28">
        <v>9610</v>
      </c>
      <c r="K240" s="28">
        <v>9067</v>
      </c>
      <c r="L240" s="28">
        <v>127042</v>
      </c>
      <c r="M240" s="28">
        <v>68134</v>
      </c>
      <c r="N240" s="28">
        <v>58908</v>
      </c>
      <c r="O240" s="29">
        <f t="shared" si="15"/>
        <v>992</v>
      </c>
      <c r="P240" s="29">
        <f t="shared" si="16"/>
        <v>943</v>
      </c>
      <c r="Q240" s="30">
        <f t="shared" si="17"/>
        <v>87.95</v>
      </c>
      <c r="R240" s="30">
        <f t="shared" si="18"/>
        <v>94.29</v>
      </c>
      <c r="S240" s="30">
        <f t="shared" si="19"/>
        <v>81.61</v>
      </c>
    </row>
    <row r="241" spans="1:19" s="5" customFormat="1" ht="15.95" customHeight="1" x14ac:dyDescent="0.25">
      <c r="A241" s="24" t="s">
        <v>62</v>
      </c>
      <c r="B241" s="15" t="s">
        <v>282</v>
      </c>
      <c r="C241" s="71" t="s">
        <v>15</v>
      </c>
      <c r="D241" s="41" t="s">
        <v>285</v>
      </c>
      <c r="E241" s="27" t="s">
        <v>5</v>
      </c>
      <c r="F241" s="28">
        <v>149991</v>
      </c>
      <c r="G241" s="28">
        <v>76898</v>
      </c>
      <c r="H241" s="28">
        <v>73093</v>
      </c>
      <c r="I241" s="28">
        <v>18344</v>
      </c>
      <c r="J241" s="28">
        <v>9610</v>
      </c>
      <c r="K241" s="28">
        <v>8734</v>
      </c>
      <c r="L241" s="28">
        <v>114882</v>
      </c>
      <c r="M241" s="28">
        <v>62892</v>
      </c>
      <c r="N241" s="28">
        <v>51990</v>
      </c>
      <c r="O241" s="29">
        <f t="shared" si="15"/>
        <v>951</v>
      </c>
      <c r="P241" s="29">
        <f t="shared" si="16"/>
        <v>909</v>
      </c>
      <c r="Q241" s="30">
        <f t="shared" si="17"/>
        <v>87.27</v>
      </c>
      <c r="R241" s="30">
        <f t="shared" si="18"/>
        <v>93.47</v>
      </c>
      <c r="S241" s="30">
        <f t="shared" si="19"/>
        <v>80.78</v>
      </c>
    </row>
    <row r="242" spans="1:19" s="5" customFormat="1" ht="15.95" customHeight="1" x14ac:dyDescent="0.25">
      <c r="A242" s="24" t="s">
        <v>62</v>
      </c>
      <c r="B242" s="15" t="s">
        <v>282</v>
      </c>
      <c r="C242" s="71" t="s">
        <v>103</v>
      </c>
      <c r="D242" s="72" t="s">
        <v>284</v>
      </c>
      <c r="E242" s="36" t="s">
        <v>0</v>
      </c>
      <c r="F242" s="28">
        <v>125345</v>
      </c>
      <c r="G242" s="28">
        <v>63910</v>
      </c>
      <c r="H242" s="28">
        <v>61435</v>
      </c>
      <c r="I242" s="28">
        <v>13804</v>
      </c>
      <c r="J242" s="28">
        <v>7192</v>
      </c>
      <c r="K242" s="28">
        <v>6612</v>
      </c>
      <c r="L242" s="28">
        <v>95303</v>
      </c>
      <c r="M242" s="28">
        <v>51905</v>
      </c>
      <c r="N242" s="28">
        <v>43398</v>
      </c>
      <c r="O242" s="29">
        <f t="shared" si="15"/>
        <v>961</v>
      </c>
      <c r="P242" s="29">
        <f t="shared" si="16"/>
        <v>919</v>
      </c>
      <c r="Q242" s="30">
        <f t="shared" si="17"/>
        <v>85.44</v>
      </c>
      <c r="R242" s="30">
        <f t="shared" si="18"/>
        <v>91.51</v>
      </c>
      <c r="S242" s="30">
        <f t="shared" si="19"/>
        <v>79.16</v>
      </c>
    </row>
    <row r="243" spans="1:19" s="5" customFormat="1" ht="15.95" customHeight="1" x14ac:dyDescent="0.25">
      <c r="A243" s="24" t="s">
        <v>62</v>
      </c>
      <c r="B243" s="15" t="s">
        <v>282</v>
      </c>
      <c r="C243" s="71" t="s">
        <v>7</v>
      </c>
      <c r="D243" s="41" t="s">
        <v>283</v>
      </c>
      <c r="E243" s="27" t="s">
        <v>5</v>
      </c>
      <c r="F243" s="28">
        <v>123173</v>
      </c>
      <c r="G243" s="28">
        <v>64130</v>
      </c>
      <c r="H243" s="28">
        <v>59043</v>
      </c>
      <c r="I243" s="28">
        <v>14172</v>
      </c>
      <c r="J243" s="28">
        <v>7519</v>
      </c>
      <c r="K243" s="28">
        <v>6653</v>
      </c>
      <c r="L243" s="28">
        <v>95640</v>
      </c>
      <c r="M243" s="28">
        <v>52351</v>
      </c>
      <c r="N243" s="28">
        <v>43289</v>
      </c>
      <c r="O243" s="29">
        <f t="shared" si="15"/>
        <v>921</v>
      </c>
      <c r="P243" s="29">
        <f t="shared" si="16"/>
        <v>885</v>
      </c>
      <c r="Q243" s="30">
        <f t="shared" si="17"/>
        <v>87.74</v>
      </c>
      <c r="R243" s="30">
        <f t="shared" si="18"/>
        <v>92.47</v>
      </c>
      <c r="S243" s="30">
        <f t="shared" si="19"/>
        <v>82.63</v>
      </c>
    </row>
    <row r="244" spans="1:19" s="5" customFormat="1" ht="15.95" customHeight="1" x14ac:dyDescent="0.25">
      <c r="A244" s="24" t="s">
        <v>62</v>
      </c>
      <c r="B244" s="15" t="s">
        <v>282</v>
      </c>
      <c r="C244" s="71" t="s">
        <v>60</v>
      </c>
      <c r="D244" s="41" t="s">
        <v>281</v>
      </c>
      <c r="E244" s="27" t="s">
        <v>5</v>
      </c>
      <c r="F244" s="28">
        <v>101645</v>
      </c>
      <c r="G244" s="28">
        <v>50769</v>
      </c>
      <c r="H244" s="28">
        <v>50876</v>
      </c>
      <c r="I244" s="28">
        <v>11283</v>
      </c>
      <c r="J244" s="28">
        <v>5780</v>
      </c>
      <c r="K244" s="28">
        <v>5503</v>
      </c>
      <c r="L244" s="28">
        <v>77655</v>
      </c>
      <c r="M244" s="28">
        <v>41912</v>
      </c>
      <c r="N244" s="28">
        <v>35743</v>
      </c>
      <c r="O244" s="29">
        <f t="shared" si="15"/>
        <v>1002</v>
      </c>
      <c r="P244" s="29">
        <f t="shared" si="16"/>
        <v>952</v>
      </c>
      <c r="Q244" s="30">
        <f t="shared" si="17"/>
        <v>85.94</v>
      </c>
      <c r="R244" s="30">
        <f t="shared" si="18"/>
        <v>93.16</v>
      </c>
      <c r="S244" s="30">
        <f t="shared" si="19"/>
        <v>78.78</v>
      </c>
    </row>
    <row r="245" spans="1:19" s="5" customFormat="1" ht="15.95" customHeight="1" x14ac:dyDescent="0.25">
      <c r="A245" s="24" t="s">
        <v>121</v>
      </c>
      <c r="B245" s="15" t="s">
        <v>242</v>
      </c>
      <c r="C245" s="73" t="s">
        <v>62</v>
      </c>
      <c r="D245" s="41" t="s">
        <v>280</v>
      </c>
      <c r="E245" s="27" t="s">
        <v>5</v>
      </c>
      <c r="F245" s="28">
        <v>2167447</v>
      </c>
      <c r="G245" s="28">
        <v>1129348</v>
      </c>
      <c r="H245" s="28">
        <v>1038099</v>
      </c>
      <c r="I245" s="28">
        <v>254108</v>
      </c>
      <c r="J245" s="28">
        <v>134644</v>
      </c>
      <c r="K245" s="28">
        <v>119464</v>
      </c>
      <c r="L245" s="28">
        <v>1659399</v>
      </c>
      <c r="M245" s="28">
        <v>909361</v>
      </c>
      <c r="N245" s="28">
        <v>750038</v>
      </c>
      <c r="O245" s="29">
        <f t="shared" si="15"/>
        <v>919</v>
      </c>
      <c r="P245" s="29">
        <f t="shared" si="16"/>
        <v>887</v>
      </c>
      <c r="Q245" s="30">
        <f t="shared" si="17"/>
        <v>86.73</v>
      </c>
      <c r="R245" s="30">
        <f t="shared" si="18"/>
        <v>91.42</v>
      </c>
      <c r="S245" s="30">
        <f t="shared" si="19"/>
        <v>81.650000000000006</v>
      </c>
    </row>
    <row r="246" spans="1:19" s="5" customFormat="1" ht="15.95" customHeight="1" x14ac:dyDescent="0.25">
      <c r="A246" s="24" t="s">
        <v>121</v>
      </c>
      <c r="B246" s="15" t="s">
        <v>242</v>
      </c>
      <c r="C246" s="74" t="s">
        <v>53</v>
      </c>
      <c r="D246" s="41" t="s">
        <v>279</v>
      </c>
      <c r="E246" s="27" t="s">
        <v>5</v>
      </c>
      <c r="F246" s="28">
        <v>1883381</v>
      </c>
      <c r="G246" s="28">
        <v>985408</v>
      </c>
      <c r="H246" s="28">
        <v>897973</v>
      </c>
      <c r="I246" s="28">
        <v>217415</v>
      </c>
      <c r="J246" s="28">
        <v>113516</v>
      </c>
      <c r="K246" s="28">
        <v>103899</v>
      </c>
      <c r="L246" s="28">
        <v>1420858</v>
      </c>
      <c r="M246" s="28">
        <v>778192</v>
      </c>
      <c r="N246" s="28">
        <v>642666</v>
      </c>
      <c r="O246" s="29">
        <f t="shared" si="15"/>
        <v>911</v>
      </c>
      <c r="P246" s="29">
        <f t="shared" si="16"/>
        <v>915</v>
      </c>
      <c r="Q246" s="30">
        <f t="shared" si="17"/>
        <v>85.29</v>
      </c>
      <c r="R246" s="30">
        <f t="shared" si="18"/>
        <v>89.25</v>
      </c>
      <c r="S246" s="30">
        <f t="shared" si="19"/>
        <v>80.930000000000007</v>
      </c>
    </row>
    <row r="247" spans="1:19" s="5" customFormat="1" ht="15.95" customHeight="1" x14ac:dyDescent="0.25">
      <c r="A247" s="24" t="s">
        <v>121</v>
      </c>
      <c r="B247" s="15" t="s">
        <v>242</v>
      </c>
      <c r="C247" s="74" t="s">
        <v>9</v>
      </c>
      <c r="D247" s="41" t="s">
        <v>278</v>
      </c>
      <c r="E247" s="27" t="s">
        <v>5</v>
      </c>
      <c r="F247" s="28">
        <v>1267564</v>
      </c>
      <c r="G247" s="28">
        <v>663096</v>
      </c>
      <c r="H247" s="28">
        <v>604468</v>
      </c>
      <c r="I247" s="28">
        <v>128679</v>
      </c>
      <c r="J247" s="28">
        <v>67630</v>
      </c>
      <c r="K247" s="28">
        <v>61049</v>
      </c>
      <c r="L247" s="28">
        <v>1015074</v>
      </c>
      <c r="M247" s="28">
        <v>554214</v>
      </c>
      <c r="N247" s="28">
        <v>460860</v>
      </c>
      <c r="O247" s="29">
        <f t="shared" si="15"/>
        <v>912</v>
      </c>
      <c r="P247" s="29">
        <f t="shared" si="16"/>
        <v>903</v>
      </c>
      <c r="Q247" s="30">
        <f t="shared" si="17"/>
        <v>89.13</v>
      </c>
      <c r="R247" s="30">
        <f t="shared" si="18"/>
        <v>93.07</v>
      </c>
      <c r="S247" s="30">
        <f t="shared" si="19"/>
        <v>84.81</v>
      </c>
    </row>
    <row r="248" spans="1:19" s="5" customFormat="1" ht="15.95" customHeight="1" x14ac:dyDescent="0.25">
      <c r="A248" s="24" t="s">
        <v>121</v>
      </c>
      <c r="B248" s="15" t="s">
        <v>242</v>
      </c>
      <c r="C248" s="74" t="s">
        <v>15</v>
      </c>
      <c r="D248" s="41" t="s">
        <v>277</v>
      </c>
      <c r="E248" s="27" t="s">
        <v>5</v>
      </c>
      <c r="F248" s="28">
        <v>1101981</v>
      </c>
      <c r="G248" s="28">
        <v>588752</v>
      </c>
      <c r="H248" s="28">
        <v>513229</v>
      </c>
      <c r="I248" s="28">
        <v>120347</v>
      </c>
      <c r="J248" s="28">
        <v>65968</v>
      </c>
      <c r="K248" s="28">
        <v>54379</v>
      </c>
      <c r="L248" s="28">
        <v>835334</v>
      </c>
      <c r="M248" s="28">
        <v>474648</v>
      </c>
      <c r="N248" s="28">
        <v>360686</v>
      </c>
      <c r="O248" s="29">
        <f t="shared" si="15"/>
        <v>872</v>
      </c>
      <c r="P248" s="29">
        <f t="shared" si="16"/>
        <v>824</v>
      </c>
      <c r="Q248" s="30">
        <f t="shared" si="17"/>
        <v>85.1</v>
      </c>
      <c r="R248" s="30">
        <f t="shared" si="18"/>
        <v>90.79</v>
      </c>
      <c r="S248" s="30">
        <f t="shared" si="19"/>
        <v>78.61</v>
      </c>
    </row>
    <row r="249" spans="1:19" s="5" customFormat="1" ht="15.95" customHeight="1" x14ac:dyDescent="0.25">
      <c r="A249" s="24" t="s">
        <v>121</v>
      </c>
      <c r="B249" s="15" t="s">
        <v>242</v>
      </c>
      <c r="C249" s="74" t="s">
        <v>123</v>
      </c>
      <c r="D249" s="41" t="s">
        <v>276</v>
      </c>
      <c r="E249" s="36" t="s">
        <v>0</v>
      </c>
      <c r="F249" s="28">
        <v>515215</v>
      </c>
      <c r="G249" s="28">
        <v>265291</v>
      </c>
      <c r="H249" s="28">
        <v>249924</v>
      </c>
      <c r="I249" s="28">
        <v>57630</v>
      </c>
      <c r="J249" s="28">
        <v>30007</v>
      </c>
      <c r="K249" s="28">
        <v>27623</v>
      </c>
      <c r="L249" s="28">
        <v>391470</v>
      </c>
      <c r="M249" s="28">
        <v>214481</v>
      </c>
      <c r="N249" s="28">
        <v>176989</v>
      </c>
      <c r="O249" s="29">
        <f t="shared" si="15"/>
        <v>942</v>
      </c>
      <c r="P249" s="29">
        <f t="shared" si="16"/>
        <v>921</v>
      </c>
      <c r="Q249" s="30">
        <f t="shared" si="17"/>
        <v>85.55</v>
      </c>
      <c r="R249" s="30">
        <f t="shared" si="18"/>
        <v>91.16</v>
      </c>
      <c r="S249" s="30">
        <f t="shared" si="19"/>
        <v>79.62</v>
      </c>
    </row>
    <row r="250" spans="1:19" s="5" customFormat="1" ht="15.95" customHeight="1" x14ac:dyDescent="0.25">
      <c r="A250" s="24" t="s">
        <v>121</v>
      </c>
      <c r="B250" s="15" t="s">
        <v>242</v>
      </c>
      <c r="C250" s="74" t="s">
        <v>41</v>
      </c>
      <c r="D250" s="41" t="s">
        <v>275</v>
      </c>
      <c r="E250" s="27" t="s">
        <v>5</v>
      </c>
      <c r="F250" s="28">
        <v>370296</v>
      </c>
      <c r="G250" s="28">
        <v>194659</v>
      </c>
      <c r="H250" s="28">
        <v>175637</v>
      </c>
      <c r="I250" s="28">
        <v>43835</v>
      </c>
      <c r="J250" s="28">
        <v>22723</v>
      </c>
      <c r="K250" s="28">
        <v>21112</v>
      </c>
      <c r="L250" s="28">
        <v>293742</v>
      </c>
      <c r="M250" s="28">
        <v>162354</v>
      </c>
      <c r="N250" s="28">
        <v>131388</v>
      </c>
      <c r="O250" s="29">
        <f t="shared" si="15"/>
        <v>902</v>
      </c>
      <c r="P250" s="29">
        <f t="shared" si="16"/>
        <v>929</v>
      </c>
      <c r="Q250" s="30">
        <f t="shared" si="17"/>
        <v>89.98</v>
      </c>
      <c r="R250" s="30">
        <f t="shared" si="18"/>
        <v>94.43</v>
      </c>
      <c r="S250" s="30">
        <f t="shared" si="19"/>
        <v>85.03</v>
      </c>
    </row>
    <row r="251" spans="1:19" s="5" customFormat="1" ht="15.95" customHeight="1" x14ac:dyDescent="0.25">
      <c r="A251" s="24" t="s">
        <v>121</v>
      </c>
      <c r="B251" s="15" t="s">
        <v>242</v>
      </c>
      <c r="C251" s="74" t="s">
        <v>18</v>
      </c>
      <c r="D251" s="41" t="s">
        <v>274</v>
      </c>
      <c r="E251" s="36" t="s">
        <v>0</v>
      </c>
      <c r="F251" s="28">
        <v>289438</v>
      </c>
      <c r="G251" s="28">
        <v>150193</v>
      </c>
      <c r="H251" s="28">
        <v>139245</v>
      </c>
      <c r="I251" s="28">
        <v>34435</v>
      </c>
      <c r="J251" s="28">
        <v>18117</v>
      </c>
      <c r="K251" s="28">
        <v>16318</v>
      </c>
      <c r="L251" s="28">
        <v>218877</v>
      </c>
      <c r="M251" s="28">
        <v>122388</v>
      </c>
      <c r="N251" s="28">
        <v>96489</v>
      </c>
      <c r="O251" s="29">
        <f t="shared" si="15"/>
        <v>927</v>
      </c>
      <c r="P251" s="29">
        <f t="shared" si="16"/>
        <v>901</v>
      </c>
      <c r="Q251" s="30">
        <f t="shared" si="17"/>
        <v>85.83</v>
      </c>
      <c r="R251" s="30">
        <f t="shared" si="18"/>
        <v>92.66</v>
      </c>
      <c r="S251" s="30">
        <f t="shared" si="19"/>
        <v>78.489999999999995</v>
      </c>
    </row>
    <row r="252" spans="1:19" s="5" customFormat="1" ht="15.95" customHeight="1" x14ac:dyDescent="0.25">
      <c r="A252" s="24" t="s">
        <v>121</v>
      </c>
      <c r="B252" s="15" t="s">
        <v>242</v>
      </c>
      <c r="C252" s="74" t="s">
        <v>43</v>
      </c>
      <c r="D252" s="41" t="s">
        <v>273</v>
      </c>
      <c r="E252" s="27" t="s">
        <v>5</v>
      </c>
      <c r="F252" s="28">
        <v>283004</v>
      </c>
      <c r="G252" s="28">
        <v>149460</v>
      </c>
      <c r="H252" s="28">
        <v>133544</v>
      </c>
      <c r="I252" s="28">
        <v>32066</v>
      </c>
      <c r="J252" s="28">
        <v>17122</v>
      </c>
      <c r="K252" s="28">
        <v>14944</v>
      </c>
      <c r="L252" s="28">
        <v>216641</v>
      </c>
      <c r="M252" s="28">
        <v>121772</v>
      </c>
      <c r="N252" s="28">
        <v>94869</v>
      </c>
      <c r="O252" s="29">
        <f t="shared" si="15"/>
        <v>894</v>
      </c>
      <c r="P252" s="29">
        <f t="shared" si="16"/>
        <v>873</v>
      </c>
      <c r="Q252" s="30">
        <f t="shared" si="17"/>
        <v>86.33</v>
      </c>
      <c r="R252" s="30">
        <f t="shared" si="18"/>
        <v>92.02</v>
      </c>
      <c r="S252" s="30">
        <f t="shared" si="19"/>
        <v>79.989999999999995</v>
      </c>
    </row>
    <row r="253" spans="1:19" s="5" customFormat="1" ht="15.95" customHeight="1" x14ac:dyDescent="0.25">
      <c r="A253" s="24" t="s">
        <v>121</v>
      </c>
      <c r="B253" s="15" t="s">
        <v>242</v>
      </c>
      <c r="C253" s="74" t="s">
        <v>11</v>
      </c>
      <c r="D253" s="41" t="s">
        <v>272</v>
      </c>
      <c r="E253" s="27" t="s">
        <v>5</v>
      </c>
      <c r="F253" s="28">
        <v>273892</v>
      </c>
      <c r="G253" s="28">
        <v>139766</v>
      </c>
      <c r="H253" s="28">
        <v>134126</v>
      </c>
      <c r="I253" s="28">
        <v>29397</v>
      </c>
      <c r="J253" s="28">
        <v>15295</v>
      </c>
      <c r="K253" s="28">
        <v>14102</v>
      </c>
      <c r="L253" s="28">
        <v>214892</v>
      </c>
      <c r="M253" s="28">
        <v>115942</v>
      </c>
      <c r="N253" s="28">
        <v>98950</v>
      </c>
      <c r="O253" s="29">
        <f t="shared" si="15"/>
        <v>960</v>
      </c>
      <c r="P253" s="29">
        <f t="shared" si="16"/>
        <v>922</v>
      </c>
      <c r="Q253" s="30">
        <f t="shared" si="17"/>
        <v>87.89</v>
      </c>
      <c r="R253" s="30">
        <f t="shared" si="18"/>
        <v>93.15</v>
      </c>
      <c r="S253" s="30">
        <f t="shared" si="19"/>
        <v>82.44</v>
      </c>
    </row>
    <row r="254" spans="1:19" s="5" customFormat="1" ht="15.95" customHeight="1" x14ac:dyDescent="0.25">
      <c r="A254" s="24" t="s">
        <v>121</v>
      </c>
      <c r="B254" s="15" t="s">
        <v>242</v>
      </c>
      <c r="C254" s="73" t="s">
        <v>60</v>
      </c>
      <c r="D254" s="41" t="s">
        <v>271</v>
      </c>
      <c r="E254" s="36" t="s">
        <v>0</v>
      </c>
      <c r="F254" s="28">
        <v>235422</v>
      </c>
      <c r="G254" s="28">
        <v>124634</v>
      </c>
      <c r="H254" s="28">
        <v>110788</v>
      </c>
      <c r="I254" s="28">
        <v>24234</v>
      </c>
      <c r="J254" s="28">
        <v>13131</v>
      </c>
      <c r="K254" s="28">
        <v>11103</v>
      </c>
      <c r="L254" s="28">
        <v>185291</v>
      </c>
      <c r="M254" s="28">
        <v>103599</v>
      </c>
      <c r="N254" s="28">
        <v>81692</v>
      </c>
      <c r="O254" s="29">
        <f t="shared" si="15"/>
        <v>889</v>
      </c>
      <c r="P254" s="29">
        <f t="shared" si="16"/>
        <v>846</v>
      </c>
      <c r="Q254" s="30">
        <f t="shared" si="17"/>
        <v>87.74</v>
      </c>
      <c r="R254" s="30">
        <f t="shared" si="18"/>
        <v>92.91</v>
      </c>
      <c r="S254" s="30">
        <f t="shared" si="19"/>
        <v>81.95</v>
      </c>
    </row>
    <row r="255" spans="1:19" s="5" customFormat="1" ht="15.95" customHeight="1" x14ac:dyDescent="0.25">
      <c r="A255" s="24" t="s">
        <v>121</v>
      </c>
      <c r="B255" s="15" t="s">
        <v>242</v>
      </c>
      <c r="C255" s="74" t="s">
        <v>13</v>
      </c>
      <c r="D255" s="41" t="s">
        <v>270</v>
      </c>
      <c r="E255" s="36" t="s">
        <v>0</v>
      </c>
      <c r="F255" s="28">
        <v>221875</v>
      </c>
      <c r="G255" s="28">
        <v>115463</v>
      </c>
      <c r="H255" s="28">
        <v>106412</v>
      </c>
      <c r="I255" s="28">
        <v>25168</v>
      </c>
      <c r="J255" s="28">
        <v>13299</v>
      </c>
      <c r="K255" s="28">
        <v>11869</v>
      </c>
      <c r="L255" s="28">
        <v>171966</v>
      </c>
      <c r="M255" s="28">
        <v>94777</v>
      </c>
      <c r="N255" s="28">
        <v>77189</v>
      </c>
      <c r="O255" s="29">
        <f t="shared" si="15"/>
        <v>922</v>
      </c>
      <c r="P255" s="29">
        <f t="shared" si="16"/>
        <v>892</v>
      </c>
      <c r="Q255" s="30">
        <f t="shared" si="17"/>
        <v>87.42</v>
      </c>
      <c r="R255" s="30">
        <f t="shared" si="18"/>
        <v>92.77</v>
      </c>
      <c r="S255" s="30">
        <f t="shared" si="19"/>
        <v>81.64</v>
      </c>
    </row>
    <row r="256" spans="1:19" s="5" customFormat="1" ht="15.95" customHeight="1" x14ac:dyDescent="0.25">
      <c r="A256" s="24" t="s">
        <v>121</v>
      </c>
      <c r="B256" s="15" t="s">
        <v>242</v>
      </c>
      <c r="C256" s="73" t="s">
        <v>269</v>
      </c>
      <c r="D256" s="41" t="s">
        <v>268</v>
      </c>
      <c r="E256" s="36" t="s">
        <v>0</v>
      </c>
      <c r="F256" s="28">
        <v>220295</v>
      </c>
      <c r="G256" s="28">
        <v>117276</v>
      </c>
      <c r="H256" s="28">
        <v>103019</v>
      </c>
      <c r="I256" s="28">
        <v>29569</v>
      </c>
      <c r="J256" s="28">
        <v>15438</v>
      </c>
      <c r="K256" s="28">
        <v>14131</v>
      </c>
      <c r="L256" s="28">
        <v>147527</v>
      </c>
      <c r="M256" s="28">
        <v>87870</v>
      </c>
      <c r="N256" s="28">
        <v>59657</v>
      </c>
      <c r="O256" s="29">
        <f t="shared" si="15"/>
        <v>878</v>
      </c>
      <c r="P256" s="29">
        <f t="shared" si="16"/>
        <v>915</v>
      </c>
      <c r="Q256" s="30">
        <f t="shared" si="17"/>
        <v>77.349999999999994</v>
      </c>
      <c r="R256" s="30">
        <f t="shared" si="18"/>
        <v>86.28</v>
      </c>
      <c r="S256" s="30">
        <f t="shared" si="19"/>
        <v>67.11</v>
      </c>
    </row>
    <row r="257" spans="1:19" s="5" customFormat="1" ht="15.95" customHeight="1" x14ac:dyDescent="0.25">
      <c r="A257" s="24" t="s">
        <v>121</v>
      </c>
      <c r="B257" s="15" t="s">
        <v>242</v>
      </c>
      <c r="C257" s="74" t="s">
        <v>267</v>
      </c>
      <c r="D257" s="41" t="s">
        <v>266</v>
      </c>
      <c r="E257" s="36" t="s">
        <v>0</v>
      </c>
      <c r="F257" s="28">
        <v>210891</v>
      </c>
      <c r="G257" s="28">
        <v>108234</v>
      </c>
      <c r="H257" s="28">
        <v>102657</v>
      </c>
      <c r="I257" s="28">
        <v>28107</v>
      </c>
      <c r="J257" s="28">
        <v>14628</v>
      </c>
      <c r="K257" s="28">
        <v>13479</v>
      </c>
      <c r="L257" s="28">
        <v>149339</v>
      </c>
      <c r="M257" s="28">
        <v>80909</v>
      </c>
      <c r="N257" s="28">
        <v>68430</v>
      </c>
      <c r="O257" s="29">
        <f t="shared" si="15"/>
        <v>948</v>
      </c>
      <c r="P257" s="29">
        <f t="shared" si="16"/>
        <v>921</v>
      </c>
      <c r="Q257" s="30">
        <f t="shared" si="17"/>
        <v>81.7</v>
      </c>
      <c r="R257" s="30">
        <f t="shared" si="18"/>
        <v>86.44</v>
      </c>
      <c r="S257" s="30">
        <f t="shared" si="19"/>
        <v>76.73</v>
      </c>
    </row>
    <row r="258" spans="1:19" s="5" customFormat="1" ht="15.95" customHeight="1" x14ac:dyDescent="0.25">
      <c r="A258" s="24" t="s">
        <v>121</v>
      </c>
      <c r="B258" s="15" t="s">
        <v>242</v>
      </c>
      <c r="C258" s="74" t="s">
        <v>265</v>
      </c>
      <c r="D258" s="41" t="s">
        <v>264</v>
      </c>
      <c r="E258" s="36" t="s">
        <v>0</v>
      </c>
      <c r="F258" s="28">
        <v>200681</v>
      </c>
      <c r="G258" s="28">
        <v>102873</v>
      </c>
      <c r="H258" s="28">
        <v>97808</v>
      </c>
      <c r="I258" s="28">
        <v>24079</v>
      </c>
      <c r="J258" s="28">
        <v>12659</v>
      </c>
      <c r="K258" s="28">
        <v>11420</v>
      </c>
      <c r="L258" s="28">
        <v>153609</v>
      </c>
      <c r="M258" s="28">
        <v>82575</v>
      </c>
      <c r="N258" s="28">
        <v>71034</v>
      </c>
      <c r="O258" s="29">
        <f t="shared" si="15"/>
        <v>951</v>
      </c>
      <c r="P258" s="29">
        <f t="shared" si="16"/>
        <v>902</v>
      </c>
      <c r="Q258" s="30">
        <f t="shared" si="17"/>
        <v>86.98</v>
      </c>
      <c r="R258" s="30">
        <f t="shared" si="18"/>
        <v>91.53</v>
      </c>
      <c r="S258" s="30">
        <f t="shared" si="19"/>
        <v>82.23</v>
      </c>
    </row>
    <row r="259" spans="1:19" s="5" customFormat="1" ht="15.95" customHeight="1" x14ac:dyDescent="0.25">
      <c r="A259" s="24" t="s">
        <v>121</v>
      </c>
      <c r="B259" s="15" t="s">
        <v>242</v>
      </c>
      <c r="C259" s="74" t="s">
        <v>7</v>
      </c>
      <c r="D259" s="41" t="s">
        <v>263</v>
      </c>
      <c r="E259" s="36" t="s">
        <v>0</v>
      </c>
      <c r="F259" s="28">
        <v>200506</v>
      </c>
      <c r="G259" s="28">
        <v>108405</v>
      </c>
      <c r="H259" s="28">
        <v>92101</v>
      </c>
      <c r="I259" s="28">
        <v>26454</v>
      </c>
      <c r="J259" s="28">
        <v>14636</v>
      </c>
      <c r="K259" s="28">
        <v>11818</v>
      </c>
      <c r="L259" s="28">
        <v>139903</v>
      </c>
      <c r="M259" s="28">
        <v>83531</v>
      </c>
      <c r="N259" s="28">
        <v>56372</v>
      </c>
      <c r="O259" s="29">
        <f t="shared" si="15"/>
        <v>850</v>
      </c>
      <c r="P259" s="29">
        <f t="shared" si="16"/>
        <v>807</v>
      </c>
      <c r="Q259" s="30">
        <f t="shared" si="17"/>
        <v>80.38</v>
      </c>
      <c r="R259" s="30">
        <f t="shared" si="18"/>
        <v>89.08</v>
      </c>
      <c r="S259" s="30">
        <f t="shared" si="19"/>
        <v>70.22</v>
      </c>
    </row>
    <row r="260" spans="1:19" s="5" customFormat="1" ht="15.95" customHeight="1" x14ac:dyDescent="0.25">
      <c r="A260" s="24" t="s">
        <v>121</v>
      </c>
      <c r="B260" s="15" t="s">
        <v>242</v>
      </c>
      <c r="C260" s="74" t="s">
        <v>2</v>
      </c>
      <c r="D260" s="41" t="s">
        <v>262</v>
      </c>
      <c r="E260" s="36" t="s">
        <v>0</v>
      </c>
      <c r="F260" s="28">
        <v>197332</v>
      </c>
      <c r="G260" s="28">
        <v>105394</v>
      </c>
      <c r="H260" s="28">
        <v>91938</v>
      </c>
      <c r="I260" s="28">
        <v>24486</v>
      </c>
      <c r="J260" s="28">
        <v>13319</v>
      </c>
      <c r="K260" s="28">
        <v>11167</v>
      </c>
      <c r="L260" s="28">
        <v>145530</v>
      </c>
      <c r="M260" s="28">
        <v>83903</v>
      </c>
      <c r="N260" s="28">
        <v>61627</v>
      </c>
      <c r="O260" s="29">
        <f t="shared" ref="O260:O323" si="20">ROUND((H260/G260)*1000,0)</f>
        <v>872</v>
      </c>
      <c r="P260" s="29">
        <f t="shared" ref="P260:P323" si="21">ROUND((K260/J260)*1000,0)</f>
        <v>838</v>
      </c>
      <c r="Q260" s="30">
        <f t="shared" ref="Q260:Q323" si="22">ROUND(L260/(F260-I260)*100,2)</f>
        <v>84.2</v>
      </c>
      <c r="R260" s="30">
        <f t="shared" ref="R260:R323" si="23">ROUND(M260/(G260-J260)*100,2)</f>
        <v>91.12</v>
      </c>
      <c r="S260" s="30">
        <f t="shared" ref="S260:S323" si="24">ROUND(N260/(H260-K260)*100,2)</f>
        <v>76.3</v>
      </c>
    </row>
    <row r="261" spans="1:19" s="5" customFormat="1" ht="15.95" customHeight="1" x14ac:dyDescent="0.25">
      <c r="A261" s="24" t="s">
        <v>121</v>
      </c>
      <c r="B261" s="15" t="s">
        <v>242</v>
      </c>
      <c r="C261" s="74" t="s">
        <v>261</v>
      </c>
      <c r="D261" s="41" t="s">
        <v>260</v>
      </c>
      <c r="E261" s="27" t="s">
        <v>5</v>
      </c>
      <c r="F261" s="28">
        <v>190008</v>
      </c>
      <c r="G261" s="28">
        <v>97040</v>
      </c>
      <c r="H261" s="28">
        <v>92968</v>
      </c>
      <c r="I261" s="28">
        <v>19227</v>
      </c>
      <c r="J261" s="28">
        <v>9885</v>
      </c>
      <c r="K261" s="28">
        <v>9342</v>
      </c>
      <c r="L261" s="28">
        <v>152429</v>
      </c>
      <c r="M261" s="28">
        <v>81728</v>
      </c>
      <c r="N261" s="28">
        <v>70701</v>
      </c>
      <c r="O261" s="29">
        <f t="shared" si="20"/>
        <v>958</v>
      </c>
      <c r="P261" s="29">
        <f t="shared" si="21"/>
        <v>945</v>
      </c>
      <c r="Q261" s="30">
        <f t="shared" si="22"/>
        <v>89.25</v>
      </c>
      <c r="R261" s="30">
        <f t="shared" si="23"/>
        <v>93.77</v>
      </c>
      <c r="S261" s="30">
        <f t="shared" si="24"/>
        <v>84.54</v>
      </c>
    </row>
    <row r="262" spans="1:19" s="5" customFormat="1" ht="15.95" customHeight="1" x14ac:dyDescent="0.25">
      <c r="A262" s="24" t="s">
        <v>121</v>
      </c>
      <c r="B262" s="15" t="s">
        <v>242</v>
      </c>
      <c r="C262" s="74" t="s">
        <v>259</v>
      </c>
      <c r="D262" s="41" t="s">
        <v>258</v>
      </c>
      <c r="E262" s="36" t="s">
        <v>0</v>
      </c>
      <c r="F262" s="28">
        <v>180978</v>
      </c>
      <c r="G262" s="28">
        <v>94645</v>
      </c>
      <c r="H262" s="28">
        <v>86333</v>
      </c>
      <c r="I262" s="28">
        <v>23757</v>
      </c>
      <c r="J262" s="28">
        <v>12658</v>
      </c>
      <c r="K262" s="28">
        <v>11099</v>
      </c>
      <c r="L262" s="28">
        <v>128463</v>
      </c>
      <c r="M262" s="28">
        <v>73169</v>
      </c>
      <c r="N262" s="28">
        <v>55294</v>
      </c>
      <c r="O262" s="29">
        <f t="shared" si="20"/>
        <v>912</v>
      </c>
      <c r="P262" s="29">
        <f t="shared" si="21"/>
        <v>877</v>
      </c>
      <c r="Q262" s="30">
        <f t="shared" si="22"/>
        <v>81.709999999999994</v>
      </c>
      <c r="R262" s="30">
        <f t="shared" si="23"/>
        <v>89.24</v>
      </c>
      <c r="S262" s="30">
        <f t="shared" si="24"/>
        <v>73.5</v>
      </c>
    </row>
    <row r="263" spans="1:19" s="5" customFormat="1" ht="15.95" customHeight="1" x14ac:dyDescent="0.25">
      <c r="A263" s="24" t="s">
        <v>121</v>
      </c>
      <c r="B263" s="15" t="s">
        <v>242</v>
      </c>
      <c r="C263" s="74" t="s">
        <v>74</v>
      </c>
      <c r="D263" s="41" t="s">
        <v>257</v>
      </c>
      <c r="E263" s="36" t="s">
        <v>0</v>
      </c>
      <c r="F263" s="28">
        <v>179972</v>
      </c>
      <c r="G263" s="28">
        <v>95227</v>
      </c>
      <c r="H263" s="28">
        <v>84745</v>
      </c>
      <c r="I263" s="28">
        <v>22683</v>
      </c>
      <c r="J263" s="28">
        <v>12075</v>
      </c>
      <c r="K263" s="28">
        <v>10608</v>
      </c>
      <c r="L263" s="28">
        <v>124641</v>
      </c>
      <c r="M263" s="28">
        <v>72107</v>
      </c>
      <c r="N263" s="28">
        <v>52534</v>
      </c>
      <c r="O263" s="29">
        <f t="shared" si="20"/>
        <v>890</v>
      </c>
      <c r="P263" s="29">
        <f t="shared" si="21"/>
        <v>879</v>
      </c>
      <c r="Q263" s="30">
        <f t="shared" si="22"/>
        <v>79.239999999999995</v>
      </c>
      <c r="R263" s="30">
        <f t="shared" si="23"/>
        <v>86.72</v>
      </c>
      <c r="S263" s="30">
        <f t="shared" si="24"/>
        <v>70.86</v>
      </c>
    </row>
    <row r="264" spans="1:19" s="5" customFormat="1" ht="15.95" customHeight="1" x14ac:dyDescent="0.25">
      <c r="A264" s="24" t="s">
        <v>121</v>
      </c>
      <c r="B264" s="15" t="s">
        <v>242</v>
      </c>
      <c r="C264" s="74" t="s">
        <v>50</v>
      </c>
      <c r="D264" s="41" t="s">
        <v>256</v>
      </c>
      <c r="E264" s="36" t="s">
        <v>0</v>
      </c>
      <c r="F264" s="28">
        <v>155959</v>
      </c>
      <c r="G264" s="28">
        <v>81424</v>
      </c>
      <c r="H264" s="28">
        <v>74535</v>
      </c>
      <c r="I264" s="28">
        <v>19360</v>
      </c>
      <c r="J264" s="28">
        <v>10122</v>
      </c>
      <c r="K264" s="28">
        <v>9238</v>
      </c>
      <c r="L264" s="28">
        <v>118678</v>
      </c>
      <c r="M264" s="28">
        <v>65802</v>
      </c>
      <c r="N264" s="28">
        <v>52876</v>
      </c>
      <c r="O264" s="29">
        <f t="shared" si="20"/>
        <v>915</v>
      </c>
      <c r="P264" s="29">
        <f t="shared" si="21"/>
        <v>913</v>
      </c>
      <c r="Q264" s="30">
        <f t="shared" si="22"/>
        <v>86.88</v>
      </c>
      <c r="R264" s="30">
        <f t="shared" si="23"/>
        <v>92.29</v>
      </c>
      <c r="S264" s="30">
        <f t="shared" si="24"/>
        <v>80.98</v>
      </c>
    </row>
    <row r="265" spans="1:19" s="5" customFormat="1" ht="15.95" customHeight="1" x14ac:dyDescent="0.25">
      <c r="A265" s="24" t="s">
        <v>121</v>
      </c>
      <c r="B265" s="15" t="s">
        <v>242</v>
      </c>
      <c r="C265" s="74" t="s">
        <v>34</v>
      </c>
      <c r="D265" s="41" t="s">
        <v>255</v>
      </c>
      <c r="E265" s="27" t="s">
        <v>5</v>
      </c>
      <c r="F265" s="28">
        <v>147688</v>
      </c>
      <c r="G265" s="28">
        <v>78070</v>
      </c>
      <c r="H265" s="28">
        <v>69618</v>
      </c>
      <c r="I265" s="28">
        <v>18312</v>
      </c>
      <c r="J265" s="28">
        <v>9874</v>
      </c>
      <c r="K265" s="28">
        <v>8438</v>
      </c>
      <c r="L265" s="28">
        <v>108806</v>
      </c>
      <c r="M265" s="28">
        <v>60806</v>
      </c>
      <c r="N265" s="28">
        <v>48000</v>
      </c>
      <c r="O265" s="29">
        <f t="shared" si="20"/>
        <v>892</v>
      </c>
      <c r="P265" s="29">
        <f t="shared" si="21"/>
        <v>855</v>
      </c>
      <c r="Q265" s="30">
        <f t="shared" si="22"/>
        <v>84.1</v>
      </c>
      <c r="R265" s="30">
        <f t="shared" si="23"/>
        <v>89.16</v>
      </c>
      <c r="S265" s="30">
        <f t="shared" si="24"/>
        <v>78.459999999999994</v>
      </c>
    </row>
    <row r="266" spans="1:19" s="5" customFormat="1" ht="15.95" customHeight="1" x14ac:dyDescent="0.25">
      <c r="A266" s="24" t="s">
        <v>121</v>
      </c>
      <c r="B266" s="15" t="s">
        <v>242</v>
      </c>
      <c r="C266" s="73" t="s">
        <v>48</v>
      </c>
      <c r="D266" s="41" t="s">
        <v>254</v>
      </c>
      <c r="E266" s="27" t="s">
        <v>5</v>
      </c>
      <c r="F266" s="28">
        <v>147515</v>
      </c>
      <c r="G266" s="28">
        <v>76951</v>
      </c>
      <c r="H266" s="28">
        <v>70564</v>
      </c>
      <c r="I266" s="28">
        <v>17519</v>
      </c>
      <c r="J266" s="28">
        <v>9161</v>
      </c>
      <c r="K266" s="28">
        <v>8358</v>
      </c>
      <c r="L266" s="28">
        <v>113014</v>
      </c>
      <c r="M266" s="28">
        <v>62616</v>
      </c>
      <c r="N266" s="28">
        <v>50398</v>
      </c>
      <c r="O266" s="29">
        <f t="shared" si="20"/>
        <v>917</v>
      </c>
      <c r="P266" s="29">
        <f t="shared" si="21"/>
        <v>912</v>
      </c>
      <c r="Q266" s="30">
        <f t="shared" si="22"/>
        <v>86.94</v>
      </c>
      <c r="R266" s="30">
        <f t="shared" si="23"/>
        <v>92.37</v>
      </c>
      <c r="S266" s="30">
        <f t="shared" si="24"/>
        <v>81.02</v>
      </c>
    </row>
    <row r="267" spans="1:19" s="5" customFormat="1" ht="15.95" customHeight="1" x14ac:dyDescent="0.25">
      <c r="A267" s="24" t="s">
        <v>121</v>
      </c>
      <c r="B267" s="15" t="s">
        <v>242</v>
      </c>
      <c r="C267" s="73" t="s">
        <v>29</v>
      </c>
      <c r="D267" s="41" t="s">
        <v>253</v>
      </c>
      <c r="E267" s="36" t="s">
        <v>0</v>
      </c>
      <c r="F267" s="28">
        <v>141468</v>
      </c>
      <c r="G267" s="28">
        <v>72370</v>
      </c>
      <c r="H267" s="28">
        <v>69098</v>
      </c>
      <c r="I267" s="28">
        <v>15721</v>
      </c>
      <c r="J267" s="28">
        <v>8282</v>
      </c>
      <c r="K267" s="28">
        <v>7439</v>
      </c>
      <c r="L267" s="28">
        <v>109135</v>
      </c>
      <c r="M267" s="28">
        <v>59436</v>
      </c>
      <c r="N267" s="28">
        <v>49699</v>
      </c>
      <c r="O267" s="29">
        <f t="shared" si="20"/>
        <v>955</v>
      </c>
      <c r="P267" s="29">
        <f t="shared" si="21"/>
        <v>898</v>
      </c>
      <c r="Q267" s="30">
        <f t="shared" si="22"/>
        <v>86.79</v>
      </c>
      <c r="R267" s="30">
        <f t="shared" si="23"/>
        <v>92.74</v>
      </c>
      <c r="S267" s="30">
        <f t="shared" si="24"/>
        <v>80.599999999999994</v>
      </c>
    </row>
    <row r="268" spans="1:19" s="5" customFormat="1" ht="15.95" customHeight="1" x14ac:dyDescent="0.25">
      <c r="A268" s="24" t="s">
        <v>121</v>
      </c>
      <c r="B268" s="15" t="s">
        <v>242</v>
      </c>
      <c r="C268" s="73" t="s">
        <v>121</v>
      </c>
      <c r="D268" s="41" t="s">
        <v>252</v>
      </c>
      <c r="E268" s="27" t="s">
        <v>5</v>
      </c>
      <c r="F268" s="28">
        <v>133361</v>
      </c>
      <c r="G268" s="28">
        <v>68672</v>
      </c>
      <c r="H268" s="28">
        <v>64689</v>
      </c>
      <c r="I268" s="28">
        <v>16662</v>
      </c>
      <c r="J268" s="28">
        <v>8786</v>
      </c>
      <c r="K268" s="28">
        <v>7876</v>
      </c>
      <c r="L268" s="28">
        <v>96870</v>
      </c>
      <c r="M268" s="28">
        <v>53275</v>
      </c>
      <c r="N268" s="28">
        <v>43595</v>
      </c>
      <c r="O268" s="29">
        <f t="shared" si="20"/>
        <v>942</v>
      </c>
      <c r="P268" s="29">
        <f t="shared" si="21"/>
        <v>896</v>
      </c>
      <c r="Q268" s="30">
        <f t="shared" si="22"/>
        <v>83.01</v>
      </c>
      <c r="R268" s="30">
        <f t="shared" si="23"/>
        <v>88.96</v>
      </c>
      <c r="S268" s="30">
        <f t="shared" si="24"/>
        <v>76.73</v>
      </c>
    </row>
    <row r="269" spans="1:19" s="5" customFormat="1" ht="15.95" customHeight="1" x14ac:dyDescent="0.25">
      <c r="A269" s="24" t="s">
        <v>121</v>
      </c>
      <c r="B269" s="15" t="s">
        <v>242</v>
      </c>
      <c r="C269" s="73" t="s">
        <v>103</v>
      </c>
      <c r="D269" s="41" t="s">
        <v>251</v>
      </c>
      <c r="E269" s="27" t="s">
        <v>5</v>
      </c>
      <c r="F269" s="28">
        <v>128575</v>
      </c>
      <c r="G269" s="28">
        <v>67566</v>
      </c>
      <c r="H269" s="28">
        <v>61009</v>
      </c>
      <c r="I269" s="28">
        <v>15008</v>
      </c>
      <c r="J269" s="28">
        <v>7836</v>
      </c>
      <c r="K269" s="28">
        <v>7172</v>
      </c>
      <c r="L269" s="28">
        <v>97528</v>
      </c>
      <c r="M269" s="28">
        <v>55043</v>
      </c>
      <c r="N269" s="28">
        <v>42485</v>
      </c>
      <c r="O269" s="29">
        <f t="shared" si="20"/>
        <v>903</v>
      </c>
      <c r="P269" s="29">
        <f t="shared" si="21"/>
        <v>915</v>
      </c>
      <c r="Q269" s="30">
        <f t="shared" si="22"/>
        <v>85.88</v>
      </c>
      <c r="R269" s="30">
        <f t="shared" si="23"/>
        <v>92.15</v>
      </c>
      <c r="S269" s="30">
        <f t="shared" si="24"/>
        <v>78.91</v>
      </c>
    </row>
    <row r="270" spans="1:19" s="5" customFormat="1" ht="15.95" customHeight="1" x14ac:dyDescent="0.25">
      <c r="A270" s="24" t="s">
        <v>121</v>
      </c>
      <c r="B270" s="15" t="s">
        <v>242</v>
      </c>
      <c r="C270" s="74" t="s">
        <v>32</v>
      </c>
      <c r="D270" s="41" t="s">
        <v>250</v>
      </c>
      <c r="E270" s="36" t="s">
        <v>0</v>
      </c>
      <c r="F270" s="28">
        <v>126099</v>
      </c>
      <c r="G270" s="28">
        <v>70577</v>
      </c>
      <c r="H270" s="28">
        <v>55522</v>
      </c>
      <c r="I270" s="28">
        <v>20438</v>
      </c>
      <c r="J270" s="28">
        <v>10872</v>
      </c>
      <c r="K270" s="28">
        <v>9566</v>
      </c>
      <c r="L270" s="28">
        <v>87417</v>
      </c>
      <c r="M270" s="28">
        <v>54030</v>
      </c>
      <c r="N270" s="28">
        <v>33387</v>
      </c>
      <c r="O270" s="29">
        <f t="shared" si="20"/>
        <v>787</v>
      </c>
      <c r="P270" s="29">
        <f t="shared" si="21"/>
        <v>880</v>
      </c>
      <c r="Q270" s="30">
        <f t="shared" si="22"/>
        <v>82.73</v>
      </c>
      <c r="R270" s="30">
        <f t="shared" si="23"/>
        <v>90.49</v>
      </c>
      <c r="S270" s="30">
        <f t="shared" si="24"/>
        <v>72.650000000000006</v>
      </c>
    </row>
    <row r="271" spans="1:19" s="5" customFormat="1" ht="15.95" customHeight="1" x14ac:dyDescent="0.25">
      <c r="A271" s="24" t="s">
        <v>121</v>
      </c>
      <c r="B271" s="15" t="s">
        <v>242</v>
      </c>
      <c r="C271" s="74" t="s">
        <v>67</v>
      </c>
      <c r="D271" s="41" t="s">
        <v>249</v>
      </c>
      <c r="E271" s="36" t="s">
        <v>0</v>
      </c>
      <c r="F271" s="28">
        <v>117956</v>
      </c>
      <c r="G271" s="28">
        <v>61610</v>
      </c>
      <c r="H271" s="28">
        <v>56346</v>
      </c>
      <c r="I271" s="28">
        <v>13012</v>
      </c>
      <c r="J271" s="28">
        <v>6964</v>
      </c>
      <c r="K271" s="28">
        <v>6048</v>
      </c>
      <c r="L271" s="28">
        <v>92317</v>
      </c>
      <c r="M271" s="28">
        <v>50943</v>
      </c>
      <c r="N271" s="28">
        <v>41374</v>
      </c>
      <c r="O271" s="29">
        <f t="shared" si="20"/>
        <v>915</v>
      </c>
      <c r="P271" s="29">
        <f t="shared" si="21"/>
        <v>868</v>
      </c>
      <c r="Q271" s="30">
        <f t="shared" si="22"/>
        <v>87.97</v>
      </c>
      <c r="R271" s="30">
        <f t="shared" si="23"/>
        <v>93.22</v>
      </c>
      <c r="S271" s="30">
        <f t="shared" si="24"/>
        <v>82.26</v>
      </c>
    </row>
    <row r="272" spans="1:19" s="5" customFormat="1" ht="15.95" customHeight="1" x14ac:dyDescent="0.25">
      <c r="A272" s="24" t="s">
        <v>121</v>
      </c>
      <c r="B272" s="15" t="s">
        <v>242</v>
      </c>
      <c r="C272" s="74" t="s">
        <v>67</v>
      </c>
      <c r="D272" s="41" t="s">
        <v>248</v>
      </c>
      <c r="E272" s="27" t="s">
        <v>5</v>
      </c>
      <c r="F272" s="28">
        <v>114430</v>
      </c>
      <c r="G272" s="28">
        <v>59382</v>
      </c>
      <c r="H272" s="28">
        <v>55048</v>
      </c>
      <c r="I272" s="28">
        <v>11832</v>
      </c>
      <c r="J272" s="28">
        <v>6130</v>
      </c>
      <c r="K272" s="28">
        <v>5702</v>
      </c>
      <c r="L272" s="28">
        <v>92647</v>
      </c>
      <c r="M272" s="28">
        <v>50702</v>
      </c>
      <c r="N272" s="28">
        <v>41945</v>
      </c>
      <c r="O272" s="29">
        <f t="shared" si="20"/>
        <v>927</v>
      </c>
      <c r="P272" s="29">
        <f t="shared" si="21"/>
        <v>930</v>
      </c>
      <c r="Q272" s="30">
        <f t="shared" si="22"/>
        <v>90.3</v>
      </c>
      <c r="R272" s="30">
        <f t="shared" si="23"/>
        <v>95.21</v>
      </c>
      <c r="S272" s="30">
        <f t="shared" si="24"/>
        <v>85</v>
      </c>
    </row>
    <row r="273" spans="1:19" s="5" customFormat="1" ht="15.95" customHeight="1" x14ac:dyDescent="0.25">
      <c r="A273" s="24" t="s">
        <v>121</v>
      </c>
      <c r="B273" s="15" t="s">
        <v>242</v>
      </c>
      <c r="C273" s="74" t="s">
        <v>37</v>
      </c>
      <c r="D273" s="41" t="s">
        <v>247</v>
      </c>
      <c r="E273" s="27" t="s">
        <v>5</v>
      </c>
      <c r="F273" s="28">
        <v>109025</v>
      </c>
      <c r="G273" s="28">
        <v>56397</v>
      </c>
      <c r="H273" s="28">
        <v>52628</v>
      </c>
      <c r="I273" s="28">
        <v>12869</v>
      </c>
      <c r="J273" s="28">
        <v>6745</v>
      </c>
      <c r="K273" s="28">
        <v>6124</v>
      </c>
      <c r="L273" s="28">
        <v>82196</v>
      </c>
      <c r="M273" s="28">
        <v>45012</v>
      </c>
      <c r="N273" s="28">
        <v>37184</v>
      </c>
      <c r="O273" s="29">
        <f t="shared" si="20"/>
        <v>933</v>
      </c>
      <c r="P273" s="29">
        <f t="shared" si="21"/>
        <v>908</v>
      </c>
      <c r="Q273" s="30">
        <f t="shared" si="22"/>
        <v>85.48</v>
      </c>
      <c r="R273" s="30">
        <f t="shared" si="23"/>
        <v>90.65</v>
      </c>
      <c r="S273" s="30">
        <f t="shared" si="24"/>
        <v>79.959999999999994</v>
      </c>
    </row>
    <row r="274" spans="1:19" s="5" customFormat="1" ht="15.95" customHeight="1" x14ac:dyDescent="0.25">
      <c r="A274" s="24" t="s">
        <v>121</v>
      </c>
      <c r="B274" s="15" t="s">
        <v>242</v>
      </c>
      <c r="C274" s="74" t="s">
        <v>39</v>
      </c>
      <c r="D274" s="41" t="s">
        <v>246</v>
      </c>
      <c r="E274" s="36" t="s">
        <v>0</v>
      </c>
      <c r="F274" s="28">
        <v>103341</v>
      </c>
      <c r="G274" s="28">
        <v>52902</v>
      </c>
      <c r="H274" s="28">
        <v>50439</v>
      </c>
      <c r="I274" s="28">
        <v>11005</v>
      </c>
      <c r="J274" s="28">
        <v>5772</v>
      </c>
      <c r="K274" s="28">
        <v>5233</v>
      </c>
      <c r="L274" s="28">
        <v>83356</v>
      </c>
      <c r="M274" s="28">
        <v>44429</v>
      </c>
      <c r="N274" s="28">
        <v>38927</v>
      </c>
      <c r="O274" s="29">
        <f t="shared" si="20"/>
        <v>953</v>
      </c>
      <c r="P274" s="29">
        <f t="shared" si="21"/>
        <v>907</v>
      </c>
      <c r="Q274" s="30">
        <f t="shared" si="22"/>
        <v>90.27</v>
      </c>
      <c r="R274" s="30">
        <f t="shared" si="23"/>
        <v>94.27</v>
      </c>
      <c r="S274" s="30">
        <f t="shared" si="24"/>
        <v>86.11</v>
      </c>
    </row>
    <row r="275" spans="1:19" s="5" customFormat="1" ht="15.95" customHeight="1" x14ac:dyDescent="0.25">
      <c r="A275" s="24" t="s">
        <v>121</v>
      </c>
      <c r="B275" s="15" t="s">
        <v>242</v>
      </c>
      <c r="C275" s="74" t="s">
        <v>245</v>
      </c>
      <c r="D275" s="41" t="s">
        <v>244</v>
      </c>
      <c r="E275" s="36" t="s">
        <v>0</v>
      </c>
      <c r="F275" s="28">
        <v>102377</v>
      </c>
      <c r="G275" s="28">
        <v>52354</v>
      </c>
      <c r="H275" s="28">
        <v>50023</v>
      </c>
      <c r="I275" s="28">
        <v>10413</v>
      </c>
      <c r="J275" s="28">
        <v>5467</v>
      </c>
      <c r="K275" s="28">
        <v>4946</v>
      </c>
      <c r="L275" s="28">
        <v>83832</v>
      </c>
      <c r="M275" s="28">
        <v>44862</v>
      </c>
      <c r="N275" s="28">
        <v>38970</v>
      </c>
      <c r="O275" s="29">
        <f t="shared" si="20"/>
        <v>955</v>
      </c>
      <c r="P275" s="29">
        <f t="shared" si="21"/>
        <v>905</v>
      </c>
      <c r="Q275" s="30">
        <f t="shared" si="22"/>
        <v>91.16</v>
      </c>
      <c r="R275" s="30">
        <f t="shared" si="23"/>
        <v>95.68</v>
      </c>
      <c r="S275" s="30">
        <f t="shared" si="24"/>
        <v>86.45</v>
      </c>
    </row>
    <row r="276" spans="1:19" s="5" customFormat="1" ht="15.95" customHeight="1" x14ac:dyDescent="0.25">
      <c r="A276" s="24" t="s">
        <v>121</v>
      </c>
      <c r="B276" s="15" t="s">
        <v>242</v>
      </c>
      <c r="C276" s="74" t="s">
        <v>25</v>
      </c>
      <c r="D276" s="41" t="s">
        <v>243</v>
      </c>
      <c r="E276" s="36" t="s">
        <v>0</v>
      </c>
      <c r="F276" s="28">
        <v>100466</v>
      </c>
      <c r="G276" s="28">
        <v>52931</v>
      </c>
      <c r="H276" s="28">
        <v>47535</v>
      </c>
      <c r="I276" s="28">
        <v>12218</v>
      </c>
      <c r="J276" s="28">
        <v>6553</v>
      </c>
      <c r="K276" s="28">
        <v>5665</v>
      </c>
      <c r="L276" s="28">
        <v>71071</v>
      </c>
      <c r="M276" s="28">
        <v>40482</v>
      </c>
      <c r="N276" s="28">
        <v>30589</v>
      </c>
      <c r="O276" s="29">
        <f t="shared" si="20"/>
        <v>898</v>
      </c>
      <c r="P276" s="29">
        <f t="shared" si="21"/>
        <v>864</v>
      </c>
      <c r="Q276" s="30">
        <f t="shared" si="22"/>
        <v>80.540000000000006</v>
      </c>
      <c r="R276" s="30">
        <f t="shared" si="23"/>
        <v>87.29</v>
      </c>
      <c r="S276" s="30">
        <f t="shared" si="24"/>
        <v>73.06</v>
      </c>
    </row>
    <row r="277" spans="1:19" s="5" customFormat="1" ht="15.95" customHeight="1" x14ac:dyDescent="0.25">
      <c r="A277" s="24" t="s">
        <v>121</v>
      </c>
      <c r="B277" s="15" t="s">
        <v>242</v>
      </c>
      <c r="C277" s="74" t="s">
        <v>123</v>
      </c>
      <c r="D277" s="41" t="s">
        <v>241</v>
      </c>
      <c r="E277" s="36" t="s">
        <v>0</v>
      </c>
      <c r="F277" s="28">
        <v>100036</v>
      </c>
      <c r="G277" s="28">
        <v>51410</v>
      </c>
      <c r="H277" s="28">
        <v>48626</v>
      </c>
      <c r="I277" s="28">
        <v>11053</v>
      </c>
      <c r="J277" s="28">
        <v>5840</v>
      </c>
      <c r="K277" s="28">
        <v>5213</v>
      </c>
      <c r="L277" s="28">
        <v>72618</v>
      </c>
      <c r="M277" s="28">
        <v>40765</v>
      </c>
      <c r="N277" s="28">
        <v>31853</v>
      </c>
      <c r="O277" s="29">
        <f t="shared" si="20"/>
        <v>946</v>
      </c>
      <c r="P277" s="29">
        <f t="shared" si="21"/>
        <v>893</v>
      </c>
      <c r="Q277" s="30">
        <f t="shared" si="22"/>
        <v>81.61</v>
      </c>
      <c r="R277" s="30">
        <f t="shared" si="23"/>
        <v>89.46</v>
      </c>
      <c r="S277" s="30">
        <f t="shared" si="24"/>
        <v>73.37</v>
      </c>
    </row>
    <row r="278" spans="1:19" s="5" customFormat="1" ht="15.95" customHeight="1" x14ac:dyDescent="0.25">
      <c r="A278" s="61" t="s">
        <v>21</v>
      </c>
      <c r="B278" s="15" t="s">
        <v>211</v>
      </c>
      <c r="C278" s="55">
        <v>99</v>
      </c>
      <c r="D278" s="41" t="s">
        <v>240</v>
      </c>
      <c r="E278" s="27" t="s">
        <v>5</v>
      </c>
      <c r="F278" s="28">
        <v>6352254</v>
      </c>
      <c r="G278" s="28">
        <v>3348264</v>
      </c>
      <c r="H278" s="28">
        <v>3003990</v>
      </c>
      <c r="I278" s="28">
        <v>675284</v>
      </c>
      <c r="J278" s="28">
        <v>364965</v>
      </c>
      <c r="K278" s="28">
        <v>310319</v>
      </c>
      <c r="L278" s="28">
        <v>5082338</v>
      </c>
      <c r="M278" s="28">
        <v>2805134</v>
      </c>
      <c r="N278" s="28">
        <v>2277204</v>
      </c>
      <c r="O278" s="29">
        <f t="shared" si="20"/>
        <v>897</v>
      </c>
      <c r="P278" s="29">
        <f t="shared" si="21"/>
        <v>850</v>
      </c>
      <c r="Q278" s="30">
        <f t="shared" si="22"/>
        <v>89.53</v>
      </c>
      <c r="R278" s="30">
        <f t="shared" si="23"/>
        <v>94.03</v>
      </c>
      <c r="S278" s="30">
        <f t="shared" si="24"/>
        <v>84.54</v>
      </c>
    </row>
    <row r="279" spans="1:19" s="5" customFormat="1" ht="15.95" customHeight="1" x14ac:dyDescent="0.25">
      <c r="A279" s="61" t="s">
        <v>21</v>
      </c>
      <c r="B279" s="15" t="s">
        <v>211</v>
      </c>
      <c r="C279" s="55" t="s">
        <v>116</v>
      </c>
      <c r="D279" s="26" t="s">
        <v>239</v>
      </c>
      <c r="E279" s="27" t="s">
        <v>5</v>
      </c>
      <c r="F279" s="28">
        <v>4585367</v>
      </c>
      <c r="G279" s="28">
        <v>2613841</v>
      </c>
      <c r="H279" s="28">
        <v>1971526</v>
      </c>
      <c r="I279" s="28">
        <v>545869</v>
      </c>
      <c r="J279" s="28">
        <v>300970</v>
      </c>
      <c r="K279" s="28">
        <v>244899</v>
      </c>
      <c r="L279" s="28">
        <v>3593918</v>
      </c>
      <c r="M279" s="28">
        <v>2143732</v>
      </c>
      <c r="N279" s="28">
        <v>1450186</v>
      </c>
      <c r="O279" s="29">
        <f t="shared" si="20"/>
        <v>754</v>
      </c>
      <c r="P279" s="29">
        <f t="shared" si="21"/>
        <v>814</v>
      </c>
      <c r="Q279" s="30">
        <f t="shared" si="22"/>
        <v>88.97</v>
      </c>
      <c r="R279" s="30">
        <f t="shared" si="23"/>
        <v>92.69</v>
      </c>
      <c r="S279" s="30">
        <f t="shared" si="24"/>
        <v>83.99</v>
      </c>
    </row>
    <row r="280" spans="1:19" s="5" customFormat="1" ht="15.95" customHeight="1" x14ac:dyDescent="0.25">
      <c r="A280" s="61" t="s">
        <v>21</v>
      </c>
      <c r="B280" s="15" t="s">
        <v>211</v>
      </c>
      <c r="C280" s="75">
        <v>19</v>
      </c>
      <c r="D280" s="32" t="s">
        <v>238</v>
      </c>
      <c r="E280" s="27" t="s">
        <v>5</v>
      </c>
      <c r="F280" s="76">
        <v>1817191</v>
      </c>
      <c r="G280" s="76">
        <v>946280</v>
      </c>
      <c r="H280" s="76">
        <v>870911</v>
      </c>
      <c r="I280" s="76">
        <v>172923</v>
      </c>
      <c r="J280" s="76">
        <v>93146</v>
      </c>
      <c r="K280" s="76">
        <v>79777</v>
      </c>
      <c r="L280" s="76">
        <v>1513883</v>
      </c>
      <c r="M280" s="76">
        <v>814179</v>
      </c>
      <c r="N280" s="76">
        <v>699704</v>
      </c>
      <c r="O280" s="29">
        <f t="shared" si="20"/>
        <v>920</v>
      </c>
      <c r="P280" s="29">
        <f t="shared" si="21"/>
        <v>856</v>
      </c>
      <c r="Q280" s="30">
        <f t="shared" si="22"/>
        <v>92.07</v>
      </c>
      <c r="R280" s="30">
        <f t="shared" si="23"/>
        <v>95.43</v>
      </c>
      <c r="S280" s="30">
        <f t="shared" si="24"/>
        <v>88.44</v>
      </c>
    </row>
    <row r="281" spans="1:19" s="5" customFormat="1" ht="15.95" customHeight="1" x14ac:dyDescent="0.25">
      <c r="A281" s="61" t="s">
        <v>21</v>
      </c>
      <c r="B281" s="15" t="s">
        <v>211</v>
      </c>
      <c r="C281" s="55" t="s">
        <v>55</v>
      </c>
      <c r="D281" s="41" t="s">
        <v>237</v>
      </c>
      <c r="E281" s="27" t="s">
        <v>5</v>
      </c>
      <c r="F281" s="77">
        <v>1390933</v>
      </c>
      <c r="G281" s="77">
        <v>731209</v>
      </c>
      <c r="H281" s="77">
        <v>659724</v>
      </c>
      <c r="I281" s="77">
        <v>145399</v>
      </c>
      <c r="J281" s="77">
        <v>79486</v>
      </c>
      <c r="K281" s="77">
        <v>65913</v>
      </c>
      <c r="L281" s="77">
        <v>1100435</v>
      </c>
      <c r="M281" s="77">
        <v>601688</v>
      </c>
      <c r="N281" s="77">
        <v>498747</v>
      </c>
      <c r="O281" s="29">
        <f t="shared" si="20"/>
        <v>902</v>
      </c>
      <c r="P281" s="29">
        <f t="shared" si="21"/>
        <v>829</v>
      </c>
      <c r="Q281" s="30">
        <f t="shared" si="22"/>
        <v>88.35</v>
      </c>
      <c r="R281" s="30">
        <f t="shared" si="23"/>
        <v>92.32</v>
      </c>
      <c r="S281" s="30">
        <f t="shared" si="24"/>
        <v>83.99</v>
      </c>
    </row>
    <row r="282" spans="1:19" s="5" customFormat="1" ht="15.95" customHeight="1" x14ac:dyDescent="0.25">
      <c r="A282" s="61" t="s">
        <v>21</v>
      </c>
      <c r="B282" s="15" t="s">
        <v>211</v>
      </c>
      <c r="C282" s="55" t="s">
        <v>101</v>
      </c>
      <c r="D282" s="41" t="s">
        <v>236</v>
      </c>
      <c r="E282" s="27" t="s">
        <v>5</v>
      </c>
      <c r="F282" s="76">
        <v>606282</v>
      </c>
      <c r="G282" s="76">
        <v>315978</v>
      </c>
      <c r="H282" s="76">
        <v>290304</v>
      </c>
      <c r="I282" s="76">
        <v>63358</v>
      </c>
      <c r="J282" s="76">
        <v>34463</v>
      </c>
      <c r="K282" s="76">
        <v>28895</v>
      </c>
      <c r="L282" s="76">
        <v>465722</v>
      </c>
      <c r="M282" s="76">
        <v>257528</v>
      </c>
      <c r="N282" s="76">
        <v>208194</v>
      </c>
      <c r="O282" s="29">
        <f t="shared" si="20"/>
        <v>919</v>
      </c>
      <c r="P282" s="29">
        <f t="shared" si="21"/>
        <v>838</v>
      </c>
      <c r="Q282" s="30">
        <f t="shared" si="22"/>
        <v>85.78</v>
      </c>
      <c r="R282" s="30">
        <f t="shared" si="23"/>
        <v>91.48</v>
      </c>
      <c r="S282" s="30">
        <f t="shared" si="24"/>
        <v>79.64</v>
      </c>
    </row>
    <row r="283" spans="1:19" s="5" customFormat="1" ht="15.95" customHeight="1" x14ac:dyDescent="0.25">
      <c r="A283" s="61" t="s">
        <v>21</v>
      </c>
      <c r="B283" s="15" t="s">
        <v>211</v>
      </c>
      <c r="C283" s="55" t="s">
        <v>41</v>
      </c>
      <c r="D283" s="41" t="s">
        <v>235</v>
      </c>
      <c r="E283" s="27" t="s">
        <v>5</v>
      </c>
      <c r="F283" s="77">
        <v>600411</v>
      </c>
      <c r="G283" s="77">
        <v>313497</v>
      </c>
      <c r="H283" s="77">
        <v>286914</v>
      </c>
      <c r="I283" s="77">
        <v>59173</v>
      </c>
      <c r="J283" s="77">
        <v>31786</v>
      </c>
      <c r="K283" s="77">
        <v>27387</v>
      </c>
      <c r="L283" s="77">
        <v>445206</v>
      </c>
      <c r="M283" s="77">
        <v>244658</v>
      </c>
      <c r="N283" s="77">
        <v>200548</v>
      </c>
      <c r="O283" s="29">
        <f t="shared" si="20"/>
        <v>915</v>
      </c>
      <c r="P283" s="29">
        <f t="shared" si="21"/>
        <v>862</v>
      </c>
      <c r="Q283" s="30">
        <f t="shared" si="22"/>
        <v>82.26</v>
      </c>
      <c r="R283" s="30">
        <f t="shared" si="23"/>
        <v>86.85</v>
      </c>
      <c r="S283" s="30">
        <f t="shared" si="24"/>
        <v>77.27</v>
      </c>
    </row>
    <row r="284" spans="1:19" s="5" customFormat="1" ht="15.95" customHeight="1" x14ac:dyDescent="0.25">
      <c r="A284" s="61" t="s">
        <v>21</v>
      </c>
      <c r="B284" s="15" t="s">
        <v>211</v>
      </c>
      <c r="C284" s="55" t="s">
        <v>43</v>
      </c>
      <c r="D284" s="26" t="s">
        <v>234</v>
      </c>
      <c r="E284" s="36" t="s">
        <v>0</v>
      </c>
      <c r="F284" s="28">
        <v>320250</v>
      </c>
      <c r="G284" s="33">
        <v>164091</v>
      </c>
      <c r="H284" s="28">
        <v>156159</v>
      </c>
      <c r="I284" s="28">
        <v>27375</v>
      </c>
      <c r="J284" s="28">
        <v>14651</v>
      </c>
      <c r="K284" s="28">
        <v>12724</v>
      </c>
      <c r="L284" s="28">
        <v>259563</v>
      </c>
      <c r="M284" s="28">
        <v>139317</v>
      </c>
      <c r="N284" s="28">
        <v>120246</v>
      </c>
      <c r="O284" s="29">
        <f t="shared" si="20"/>
        <v>952</v>
      </c>
      <c r="P284" s="29">
        <f t="shared" si="21"/>
        <v>868</v>
      </c>
      <c r="Q284" s="30">
        <f t="shared" si="22"/>
        <v>88.63</v>
      </c>
      <c r="R284" s="30">
        <f t="shared" si="23"/>
        <v>93.23</v>
      </c>
      <c r="S284" s="30">
        <f t="shared" si="24"/>
        <v>83.83</v>
      </c>
    </row>
    <row r="285" spans="1:19" s="5" customFormat="1" ht="15.95" customHeight="1" x14ac:dyDescent="0.25">
      <c r="A285" s="61" t="s">
        <v>21</v>
      </c>
      <c r="B285" s="15" t="s">
        <v>211</v>
      </c>
      <c r="C285" s="55" t="s">
        <v>103</v>
      </c>
      <c r="D285" s="41" t="s">
        <v>233</v>
      </c>
      <c r="E285" s="27" t="s">
        <v>5</v>
      </c>
      <c r="F285" s="76">
        <v>286921</v>
      </c>
      <c r="G285" s="76">
        <v>148801</v>
      </c>
      <c r="H285" s="76">
        <v>138120</v>
      </c>
      <c r="I285" s="76">
        <v>28745</v>
      </c>
      <c r="J285" s="76">
        <v>15363</v>
      </c>
      <c r="K285" s="76">
        <v>13382</v>
      </c>
      <c r="L285" s="76">
        <v>240028</v>
      </c>
      <c r="M285" s="76">
        <v>128241</v>
      </c>
      <c r="N285" s="76">
        <v>111787</v>
      </c>
      <c r="O285" s="29">
        <f t="shared" si="20"/>
        <v>928</v>
      </c>
      <c r="P285" s="29">
        <f t="shared" si="21"/>
        <v>871</v>
      </c>
      <c r="Q285" s="30">
        <f t="shared" si="22"/>
        <v>92.97</v>
      </c>
      <c r="R285" s="30">
        <f t="shared" si="23"/>
        <v>96.11</v>
      </c>
      <c r="S285" s="30">
        <f t="shared" si="24"/>
        <v>89.62</v>
      </c>
    </row>
    <row r="286" spans="1:19" s="5" customFormat="1" ht="15.95" customHeight="1" x14ac:dyDescent="0.25">
      <c r="A286" s="61" t="s">
        <v>21</v>
      </c>
      <c r="B286" s="15" t="s">
        <v>211</v>
      </c>
      <c r="C286" s="55" t="s">
        <v>121</v>
      </c>
      <c r="D286" s="41" t="s">
        <v>232</v>
      </c>
      <c r="E286" s="27" t="s">
        <v>5</v>
      </c>
      <c r="F286" s="76">
        <v>282753</v>
      </c>
      <c r="G286" s="76">
        <v>148588</v>
      </c>
      <c r="H286" s="76">
        <v>134165</v>
      </c>
      <c r="I286" s="76">
        <v>29683</v>
      </c>
      <c r="J286" s="76">
        <v>15924</v>
      </c>
      <c r="K286" s="76">
        <v>13759</v>
      </c>
      <c r="L286" s="76">
        <v>226184</v>
      </c>
      <c r="M286" s="76">
        <v>124176</v>
      </c>
      <c r="N286" s="76">
        <v>102008</v>
      </c>
      <c r="O286" s="29">
        <f t="shared" si="20"/>
        <v>903</v>
      </c>
      <c r="P286" s="29">
        <f t="shared" si="21"/>
        <v>864</v>
      </c>
      <c r="Q286" s="30">
        <f t="shared" si="22"/>
        <v>89.38</v>
      </c>
      <c r="R286" s="30">
        <f t="shared" si="23"/>
        <v>93.6</v>
      </c>
      <c r="S286" s="30">
        <f t="shared" si="24"/>
        <v>84.72</v>
      </c>
    </row>
    <row r="287" spans="1:19" s="5" customFormat="1" ht="15.95" customHeight="1" x14ac:dyDescent="0.25">
      <c r="A287" s="61" t="s">
        <v>21</v>
      </c>
      <c r="B287" s="15" t="s">
        <v>211</v>
      </c>
      <c r="C287" s="55" t="s">
        <v>34</v>
      </c>
      <c r="D287" s="41" t="s">
        <v>231</v>
      </c>
      <c r="E287" s="27" t="s">
        <v>5</v>
      </c>
      <c r="F287" s="77">
        <v>253620</v>
      </c>
      <c r="G287" s="77">
        <v>132252</v>
      </c>
      <c r="H287" s="77">
        <v>121368</v>
      </c>
      <c r="I287" s="77">
        <v>25725</v>
      </c>
      <c r="J287" s="77">
        <v>13761</v>
      </c>
      <c r="K287" s="77">
        <v>11964</v>
      </c>
      <c r="L287" s="77">
        <v>194274</v>
      </c>
      <c r="M287" s="77">
        <v>108729</v>
      </c>
      <c r="N287" s="77">
        <v>85545</v>
      </c>
      <c r="O287" s="29">
        <f t="shared" si="20"/>
        <v>918</v>
      </c>
      <c r="P287" s="29">
        <f t="shared" si="21"/>
        <v>869</v>
      </c>
      <c r="Q287" s="30">
        <f t="shared" si="22"/>
        <v>85.25</v>
      </c>
      <c r="R287" s="30">
        <f t="shared" si="23"/>
        <v>91.76</v>
      </c>
      <c r="S287" s="30">
        <f t="shared" si="24"/>
        <v>78.19</v>
      </c>
    </row>
    <row r="288" spans="1:19" s="5" customFormat="1" ht="15.95" customHeight="1" x14ac:dyDescent="0.25">
      <c r="A288" s="61" t="s">
        <v>21</v>
      </c>
      <c r="B288" s="15" t="s">
        <v>211</v>
      </c>
      <c r="C288" s="55" t="s">
        <v>71</v>
      </c>
      <c r="D288" s="41" t="s">
        <v>230</v>
      </c>
      <c r="E288" s="36" t="s">
        <v>0</v>
      </c>
      <c r="F288" s="77">
        <v>248705</v>
      </c>
      <c r="G288" s="42">
        <v>132388</v>
      </c>
      <c r="H288" s="28">
        <v>116317</v>
      </c>
      <c r="I288" s="28">
        <v>31224</v>
      </c>
      <c r="J288" s="28">
        <v>16352</v>
      </c>
      <c r="K288" s="28">
        <v>14872</v>
      </c>
      <c r="L288" s="28">
        <v>181253</v>
      </c>
      <c r="M288" s="28">
        <v>104073</v>
      </c>
      <c r="N288" s="28">
        <v>77180</v>
      </c>
      <c r="O288" s="29">
        <f t="shared" si="20"/>
        <v>879</v>
      </c>
      <c r="P288" s="29">
        <f t="shared" si="21"/>
        <v>909</v>
      </c>
      <c r="Q288" s="30">
        <f t="shared" si="22"/>
        <v>83.34</v>
      </c>
      <c r="R288" s="30">
        <f t="shared" si="23"/>
        <v>89.69</v>
      </c>
      <c r="S288" s="30">
        <f t="shared" si="24"/>
        <v>76.08</v>
      </c>
    </row>
    <row r="289" spans="1:19" s="5" customFormat="1" ht="15.95" customHeight="1" x14ac:dyDescent="0.25">
      <c r="A289" s="61" t="s">
        <v>21</v>
      </c>
      <c r="B289" s="15" t="s">
        <v>211</v>
      </c>
      <c r="C289" s="55" t="s">
        <v>55</v>
      </c>
      <c r="D289" s="41" t="s">
        <v>229</v>
      </c>
      <c r="E289" s="27" t="s">
        <v>5</v>
      </c>
      <c r="F289" s="77">
        <v>246008</v>
      </c>
      <c r="G289" s="77">
        <v>128290</v>
      </c>
      <c r="H289" s="77">
        <v>117718</v>
      </c>
      <c r="I289" s="77">
        <v>29493</v>
      </c>
      <c r="J289" s="77">
        <v>15775</v>
      </c>
      <c r="K289" s="77">
        <v>13718</v>
      </c>
      <c r="L289" s="77">
        <v>181566</v>
      </c>
      <c r="M289" s="77">
        <v>101417</v>
      </c>
      <c r="N289" s="77">
        <v>80149</v>
      </c>
      <c r="O289" s="29">
        <f t="shared" si="20"/>
        <v>918</v>
      </c>
      <c r="P289" s="29">
        <f t="shared" si="21"/>
        <v>870</v>
      </c>
      <c r="Q289" s="30">
        <f t="shared" si="22"/>
        <v>83.86</v>
      </c>
      <c r="R289" s="30">
        <f t="shared" si="23"/>
        <v>90.14</v>
      </c>
      <c r="S289" s="30">
        <f t="shared" si="24"/>
        <v>77.069999999999993</v>
      </c>
    </row>
    <row r="290" spans="1:19" s="5" customFormat="1" ht="15.95" customHeight="1" x14ac:dyDescent="0.25">
      <c r="A290" s="61" t="s">
        <v>21</v>
      </c>
      <c r="B290" s="15" t="s">
        <v>211</v>
      </c>
      <c r="C290" s="55" t="s">
        <v>29</v>
      </c>
      <c r="D290" s="41" t="s">
        <v>228</v>
      </c>
      <c r="E290" s="27" t="s">
        <v>5</v>
      </c>
      <c r="F290" s="76">
        <v>225132</v>
      </c>
      <c r="G290" s="76">
        <v>115971</v>
      </c>
      <c r="H290" s="76">
        <v>109161</v>
      </c>
      <c r="I290" s="76">
        <v>20825</v>
      </c>
      <c r="J290" s="76">
        <v>11240</v>
      </c>
      <c r="K290" s="76">
        <v>9585</v>
      </c>
      <c r="L290" s="76">
        <v>180843</v>
      </c>
      <c r="M290" s="76">
        <v>97601</v>
      </c>
      <c r="N290" s="76">
        <v>83242</v>
      </c>
      <c r="O290" s="29">
        <f t="shared" si="20"/>
        <v>941</v>
      </c>
      <c r="P290" s="29">
        <f t="shared" si="21"/>
        <v>853</v>
      </c>
      <c r="Q290" s="30">
        <f t="shared" si="22"/>
        <v>88.52</v>
      </c>
      <c r="R290" s="30">
        <f t="shared" si="23"/>
        <v>93.19</v>
      </c>
      <c r="S290" s="30">
        <f t="shared" si="24"/>
        <v>83.6</v>
      </c>
    </row>
    <row r="291" spans="1:19" s="5" customFormat="1" ht="15.95" customHeight="1" x14ac:dyDescent="0.25">
      <c r="A291" s="61" t="s">
        <v>21</v>
      </c>
      <c r="B291" s="15" t="s">
        <v>211</v>
      </c>
      <c r="C291" s="55" t="s">
        <v>32</v>
      </c>
      <c r="D291" s="41" t="s">
        <v>227</v>
      </c>
      <c r="E291" s="27" t="s">
        <v>5</v>
      </c>
      <c r="F291" s="76">
        <v>224210</v>
      </c>
      <c r="G291" s="76">
        <v>115545</v>
      </c>
      <c r="H291" s="76">
        <v>108665</v>
      </c>
      <c r="I291" s="76">
        <v>20544</v>
      </c>
      <c r="J291" s="76">
        <v>10758</v>
      </c>
      <c r="K291" s="76">
        <v>9786</v>
      </c>
      <c r="L291" s="76">
        <v>181090</v>
      </c>
      <c r="M291" s="76">
        <v>96231</v>
      </c>
      <c r="N291" s="76">
        <v>84859</v>
      </c>
      <c r="O291" s="29">
        <f t="shared" si="20"/>
        <v>940</v>
      </c>
      <c r="P291" s="29">
        <f t="shared" si="21"/>
        <v>910</v>
      </c>
      <c r="Q291" s="30">
        <f t="shared" si="22"/>
        <v>88.92</v>
      </c>
      <c r="R291" s="30">
        <f t="shared" si="23"/>
        <v>91.83</v>
      </c>
      <c r="S291" s="30">
        <f t="shared" si="24"/>
        <v>85.82</v>
      </c>
    </row>
    <row r="292" spans="1:19" s="5" customFormat="1" ht="15.95" customHeight="1" x14ac:dyDescent="0.25">
      <c r="A292" s="61" t="s">
        <v>21</v>
      </c>
      <c r="B292" s="15" t="s">
        <v>211</v>
      </c>
      <c r="C292" s="55" t="s">
        <v>48</v>
      </c>
      <c r="D292" s="41" t="s">
        <v>226</v>
      </c>
      <c r="E292" s="27" t="s">
        <v>5</v>
      </c>
      <c r="F292" s="76">
        <v>217307</v>
      </c>
      <c r="G292" s="76">
        <v>112280</v>
      </c>
      <c r="H292" s="76">
        <v>105027</v>
      </c>
      <c r="I292" s="76">
        <v>20760</v>
      </c>
      <c r="J292" s="76">
        <v>11078</v>
      </c>
      <c r="K292" s="76">
        <v>9682</v>
      </c>
      <c r="L292" s="76">
        <v>167997</v>
      </c>
      <c r="M292" s="76">
        <v>92193</v>
      </c>
      <c r="N292" s="76">
        <v>75804</v>
      </c>
      <c r="O292" s="29">
        <f t="shared" si="20"/>
        <v>935</v>
      </c>
      <c r="P292" s="29">
        <f t="shared" si="21"/>
        <v>874</v>
      </c>
      <c r="Q292" s="30">
        <f t="shared" si="22"/>
        <v>85.47</v>
      </c>
      <c r="R292" s="30">
        <f t="shared" si="23"/>
        <v>91.1</v>
      </c>
      <c r="S292" s="30">
        <f t="shared" si="24"/>
        <v>79.5</v>
      </c>
    </row>
    <row r="293" spans="1:19" s="5" customFormat="1" ht="15.95" customHeight="1" x14ac:dyDescent="0.25">
      <c r="A293" s="61" t="s">
        <v>21</v>
      </c>
      <c r="B293" s="15" t="s">
        <v>211</v>
      </c>
      <c r="C293" s="55" t="s">
        <v>15</v>
      </c>
      <c r="D293" s="26" t="s">
        <v>225</v>
      </c>
      <c r="E293" s="27" t="s">
        <v>5</v>
      </c>
      <c r="F293" s="77">
        <v>190189</v>
      </c>
      <c r="G293" s="77">
        <v>100495</v>
      </c>
      <c r="H293" s="77">
        <v>89694</v>
      </c>
      <c r="I293" s="77">
        <v>17956</v>
      </c>
      <c r="J293" s="77">
        <v>10203</v>
      </c>
      <c r="K293" s="77">
        <v>7753</v>
      </c>
      <c r="L293" s="77">
        <v>156697</v>
      </c>
      <c r="M293" s="77">
        <v>86414</v>
      </c>
      <c r="N293" s="77">
        <v>70283</v>
      </c>
      <c r="O293" s="29">
        <f t="shared" si="20"/>
        <v>893</v>
      </c>
      <c r="P293" s="29">
        <f t="shared" si="21"/>
        <v>760</v>
      </c>
      <c r="Q293" s="30">
        <f t="shared" si="22"/>
        <v>90.98</v>
      </c>
      <c r="R293" s="30">
        <f t="shared" si="23"/>
        <v>95.71</v>
      </c>
      <c r="S293" s="30">
        <f t="shared" si="24"/>
        <v>85.77</v>
      </c>
    </row>
    <row r="294" spans="1:19" s="5" customFormat="1" ht="15.95" customHeight="1" x14ac:dyDescent="0.25">
      <c r="A294" s="61" t="s">
        <v>21</v>
      </c>
      <c r="B294" s="15" t="s">
        <v>211</v>
      </c>
      <c r="C294" s="55" t="s">
        <v>71</v>
      </c>
      <c r="D294" s="26" t="s">
        <v>224</v>
      </c>
      <c r="E294" s="27" t="s">
        <v>5</v>
      </c>
      <c r="F294" s="28">
        <v>187279</v>
      </c>
      <c r="G294" s="28">
        <v>98214</v>
      </c>
      <c r="H294" s="28">
        <v>89065</v>
      </c>
      <c r="I294" s="28">
        <v>20715</v>
      </c>
      <c r="J294" s="28">
        <v>10854</v>
      </c>
      <c r="K294" s="28">
        <v>9861</v>
      </c>
      <c r="L294" s="28">
        <v>144913</v>
      </c>
      <c r="M294" s="28">
        <v>80353</v>
      </c>
      <c r="N294" s="28">
        <v>64560</v>
      </c>
      <c r="O294" s="29">
        <f t="shared" si="20"/>
        <v>907</v>
      </c>
      <c r="P294" s="29">
        <f t="shared" si="21"/>
        <v>909</v>
      </c>
      <c r="Q294" s="30">
        <f t="shared" si="22"/>
        <v>87</v>
      </c>
      <c r="R294" s="30">
        <f t="shared" si="23"/>
        <v>91.98</v>
      </c>
      <c r="S294" s="30">
        <f t="shared" si="24"/>
        <v>81.510000000000005</v>
      </c>
    </row>
    <row r="295" spans="1:19" s="5" customFormat="1" ht="15.95" customHeight="1" x14ac:dyDescent="0.25">
      <c r="A295" s="61" t="s">
        <v>21</v>
      </c>
      <c r="B295" s="15" t="s">
        <v>211</v>
      </c>
      <c r="C295" s="55" t="s">
        <v>43</v>
      </c>
      <c r="D295" s="41" t="s">
        <v>223</v>
      </c>
      <c r="E295" s="27" t="s">
        <v>5</v>
      </c>
      <c r="F295" s="76">
        <v>184855</v>
      </c>
      <c r="G295" s="76">
        <v>94208</v>
      </c>
      <c r="H295" s="76">
        <v>90647</v>
      </c>
      <c r="I295" s="76">
        <v>21024</v>
      </c>
      <c r="J295" s="76">
        <v>11031</v>
      </c>
      <c r="K295" s="76">
        <v>9993</v>
      </c>
      <c r="L295" s="76">
        <v>127121</v>
      </c>
      <c r="M295" s="76">
        <v>71818</v>
      </c>
      <c r="N295" s="76">
        <v>55303</v>
      </c>
      <c r="O295" s="29">
        <f t="shared" si="20"/>
        <v>962</v>
      </c>
      <c r="P295" s="29">
        <f t="shared" si="21"/>
        <v>906</v>
      </c>
      <c r="Q295" s="30">
        <f t="shared" si="22"/>
        <v>77.59</v>
      </c>
      <c r="R295" s="30">
        <f t="shared" si="23"/>
        <v>86.34</v>
      </c>
      <c r="S295" s="30">
        <f t="shared" si="24"/>
        <v>68.569999999999993</v>
      </c>
    </row>
    <row r="296" spans="1:19" s="5" customFormat="1" ht="15.95" customHeight="1" x14ac:dyDescent="0.25">
      <c r="A296" s="61" t="s">
        <v>21</v>
      </c>
      <c r="B296" s="15" t="s">
        <v>211</v>
      </c>
      <c r="C296" s="55" t="s">
        <v>21</v>
      </c>
      <c r="D296" s="41" t="s">
        <v>222</v>
      </c>
      <c r="E296" s="27" t="s">
        <v>5</v>
      </c>
      <c r="F296" s="76">
        <v>170235</v>
      </c>
      <c r="G296" s="76">
        <v>86882</v>
      </c>
      <c r="H296" s="76">
        <v>83353</v>
      </c>
      <c r="I296" s="76">
        <v>14190</v>
      </c>
      <c r="J296" s="76">
        <v>7426</v>
      </c>
      <c r="K296" s="76">
        <v>6764</v>
      </c>
      <c r="L296" s="76">
        <v>145625</v>
      </c>
      <c r="M296" s="76">
        <v>76121</v>
      </c>
      <c r="N296" s="76">
        <v>69504</v>
      </c>
      <c r="O296" s="29">
        <f t="shared" si="20"/>
        <v>959</v>
      </c>
      <c r="P296" s="29">
        <f t="shared" si="21"/>
        <v>911</v>
      </c>
      <c r="Q296" s="30">
        <f t="shared" si="22"/>
        <v>93.32</v>
      </c>
      <c r="R296" s="30">
        <f t="shared" si="23"/>
        <v>95.8</v>
      </c>
      <c r="S296" s="30">
        <f t="shared" si="24"/>
        <v>90.75</v>
      </c>
    </row>
    <row r="297" spans="1:19" s="5" customFormat="1" ht="15.95" customHeight="1" x14ac:dyDescent="0.25">
      <c r="A297" s="61" t="s">
        <v>21</v>
      </c>
      <c r="B297" s="15" t="s">
        <v>211</v>
      </c>
      <c r="C297" s="55" t="s">
        <v>21</v>
      </c>
      <c r="D297" s="26" t="s">
        <v>221</v>
      </c>
      <c r="E297" s="36" t="s">
        <v>0</v>
      </c>
      <c r="F297" s="28">
        <v>163605</v>
      </c>
      <c r="G297" s="28">
        <v>94338</v>
      </c>
      <c r="H297" s="28">
        <v>69267</v>
      </c>
      <c r="I297" s="28">
        <v>19899</v>
      </c>
      <c r="J297" s="28">
        <v>10618</v>
      </c>
      <c r="K297" s="28">
        <v>9281</v>
      </c>
      <c r="L297" s="28">
        <v>143706</v>
      </c>
      <c r="M297" s="28">
        <v>83720</v>
      </c>
      <c r="N297" s="28">
        <v>59986</v>
      </c>
      <c r="O297" s="29">
        <f t="shared" si="20"/>
        <v>734</v>
      </c>
      <c r="P297" s="29">
        <f t="shared" si="21"/>
        <v>874</v>
      </c>
      <c r="Q297" s="30">
        <f t="shared" si="22"/>
        <v>100</v>
      </c>
      <c r="R297" s="30">
        <f t="shared" si="23"/>
        <v>100</v>
      </c>
      <c r="S297" s="30">
        <f t="shared" si="24"/>
        <v>100</v>
      </c>
    </row>
    <row r="298" spans="1:19" s="5" customFormat="1" ht="15.95" customHeight="1" x14ac:dyDescent="0.25">
      <c r="A298" s="61" t="s">
        <v>21</v>
      </c>
      <c r="B298" s="15" t="s">
        <v>211</v>
      </c>
      <c r="C298" s="55" t="s">
        <v>11</v>
      </c>
      <c r="D298" s="41" t="s">
        <v>220</v>
      </c>
      <c r="E298" s="27" t="s">
        <v>5</v>
      </c>
      <c r="F298" s="76">
        <v>161925</v>
      </c>
      <c r="G298" s="76">
        <v>83568</v>
      </c>
      <c r="H298" s="76">
        <v>78357</v>
      </c>
      <c r="I298" s="76">
        <v>19489</v>
      </c>
      <c r="J298" s="76">
        <v>10193</v>
      </c>
      <c r="K298" s="76">
        <v>9296</v>
      </c>
      <c r="L298" s="76">
        <v>125859</v>
      </c>
      <c r="M298" s="76">
        <v>68641</v>
      </c>
      <c r="N298" s="76">
        <v>57218</v>
      </c>
      <c r="O298" s="29">
        <f t="shared" si="20"/>
        <v>938</v>
      </c>
      <c r="P298" s="29">
        <f t="shared" si="21"/>
        <v>912</v>
      </c>
      <c r="Q298" s="30">
        <f t="shared" si="22"/>
        <v>88.36</v>
      </c>
      <c r="R298" s="30">
        <f t="shared" si="23"/>
        <v>93.55</v>
      </c>
      <c r="S298" s="30">
        <f t="shared" si="24"/>
        <v>82.85</v>
      </c>
    </row>
    <row r="299" spans="1:19" s="5" customFormat="1" ht="15.95" customHeight="1" x14ac:dyDescent="0.25">
      <c r="A299" s="61" t="s">
        <v>21</v>
      </c>
      <c r="B299" s="15" t="s">
        <v>211</v>
      </c>
      <c r="C299" s="55" t="s">
        <v>32</v>
      </c>
      <c r="D299" s="41" t="s">
        <v>219</v>
      </c>
      <c r="E299" s="27" t="s">
        <v>5</v>
      </c>
      <c r="F299" s="76">
        <v>140839</v>
      </c>
      <c r="G299" s="76">
        <v>75167</v>
      </c>
      <c r="H299" s="76">
        <v>65672</v>
      </c>
      <c r="I299" s="76">
        <v>15168</v>
      </c>
      <c r="J299" s="76">
        <v>8137</v>
      </c>
      <c r="K299" s="76">
        <v>7031</v>
      </c>
      <c r="L299" s="76">
        <v>114184</v>
      </c>
      <c r="M299" s="76">
        <v>62978</v>
      </c>
      <c r="N299" s="76">
        <v>51206</v>
      </c>
      <c r="O299" s="29">
        <f t="shared" si="20"/>
        <v>874</v>
      </c>
      <c r="P299" s="29">
        <f t="shared" si="21"/>
        <v>864</v>
      </c>
      <c r="Q299" s="30">
        <f t="shared" si="22"/>
        <v>90.86</v>
      </c>
      <c r="R299" s="30">
        <f t="shared" si="23"/>
        <v>93.95</v>
      </c>
      <c r="S299" s="30">
        <f t="shared" si="24"/>
        <v>87.32</v>
      </c>
    </row>
    <row r="300" spans="1:19" s="5" customFormat="1" ht="15.95" customHeight="1" x14ac:dyDescent="0.25">
      <c r="A300" s="61" t="s">
        <v>21</v>
      </c>
      <c r="B300" s="15" t="s">
        <v>211</v>
      </c>
      <c r="C300" s="55" t="s">
        <v>7</v>
      </c>
      <c r="D300" s="32" t="s">
        <v>218</v>
      </c>
      <c r="E300" s="27" t="s">
        <v>5</v>
      </c>
      <c r="F300" s="77">
        <v>140344</v>
      </c>
      <c r="G300" s="77">
        <v>73342</v>
      </c>
      <c r="H300" s="77">
        <v>67002</v>
      </c>
      <c r="I300" s="77">
        <v>15698</v>
      </c>
      <c r="J300" s="77">
        <v>8538</v>
      </c>
      <c r="K300" s="77">
        <v>7160</v>
      </c>
      <c r="L300" s="77">
        <v>108193</v>
      </c>
      <c r="M300" s="77">
        <v>61232</v>
      </c>
      <c r="N300" s="77">
        <v>46961</v>
      </c>
      <c r="O300" s="29">
        <f t="shared" si="20"/>
        <v>914</v>
      </c>
      <c r="P300" s="29">
        <f t="shared" si="21"/>
        <v>839</v>
      </c>
      <c r="Q300" s="30">
        <f t="shared" si="22"/>
        <v>86.8</v>
      </c>
      <c r="R300" s="30">
        <f t="shared" si="23"/>
        <v>94.49</v>
      </c>
      <c r="S300" s="30">
        <f t="shared" si="24"/>
        <v>78.47</v>
      </c>
    </row>
    <row r="301" spans="1:19" s="5" customFormat="1" ht="15.95" customHeight="1" x14ac:dyDescent="0.25">
      <c r="A301" s="61" t="s">
        <v>21</v>
      </c>
      <c r="B301" s="15" t="s">
        <v>211</v>
      </c>
      <c r="C301" s="55" t="s">
        <v>2</v>
      </c>
      <c r="D301" s="26" t="s">
        <v>217</v>
      </c>
      <c r="E301" s="27" t="s">
        <v>5</v>
      </c>
      <c r="F301" s="77">
        <v>133744</v>
      </c>
      <c r="G301" s="77">
        <v>69984</v>
      </c>
      <c r="H301" s="77">
        <v>63760</v>
      </c>
      <c r="I301" s="77">
        <v>13089</v>
      </c>
      <c r="J301" s="77">
        <v>7053</v>
      </c>
      <c r="K301" s="77">
        <v>6036</v>
      </c>
      <c r="L301" s="77">
        <v>105998</v>
      </c>
      <c r="M301" s="77">
        <v>59060</v>
      </c>
      <c r="N301" s="77">
        <v>46938</v>
      </c>
      <c r="O301" s="29">
        <f t="shared" si="20"/>
        <v>911</v>
      </c>
      <c r="P301" s="29">
        <f t="shared" si="21"/>
        <v>856</v>
      </c>
      <c r="Q301" s="30">
        <f t="shared" si="22"/>
        <v>87.85</v>
      </c>
      <c r="R301" s="30">
        <f t="shared" si="23"/>
        <v>93.85</v>
      </c>
      <c r="S301" s="30">
        <f t="shared" si="24"/>
        <v>81.31</v>
      </c>
    </row>
    <row r="302" spans="1:19" s="5" customFormat="1" ht="15.95" customHeight="1" x14ac:dyDescent="0.25">
      <c r="A302" s="61" t="s">
        <v>21</v>
      </c>
      <c r="B302" s="15" t="s">
        <v>211</v>
      </c>
      <c r="C302" s="55" t="s">
        <v>101</v>
      </c>
      <c r="D302" s="26" t="s">
        <v>216</v>
      </c>
      <c r="E302" s="36" t="s">
        <v>0</v>
      </c>
      <c r="F302" s="28">
        <v>130302</v>
      </c>
      <c r="G302" s="28">
        <v>67778</v>
      </c>
      <c r="H302" s="28">
        <v>62524</v>
      </c>
      <c r="I302" s="28">
        <v>16654</v>
      </c>
      <c r="J302" s="28">
        <v>8889</v>
      </c>
      <c r="K302" s="28">
        <v>7765</v>
      </c>
      <c r="L302" s="28">
        <v>94563</v>
      </c>
      <c r="M302" s="28">
        <v>53275</v>
      </c>
      <c r="N302" s="28">
        <v>41288</v>
      </c>
      <c r="O302" s="29">
        <f t="shared" si="20"/>
        <v>922</v>
      </c>
      <c r="P302" s="29">
        <f t="shared" si="21"/>
        <v>874</v>
      </c>
      <c r="Q302" s="30">
        <f t="shared" si="22"/>
        <v>83.21</v>
      </c>
      <c r="R302" s="30">
        <f t="shared" si="23"/>
        <v>90.47</v>
      </c>
      <c r="S302" s="30">
        <f t="shared" si="24"/>
        <v>75.400000000000006</v>
      </c>
    </row>
    <row r="303" spans="1:19" s="5" customFormat="1" ht="15.95" customHeight="1" x14ac:dyDescent="0.25">
      <c r="A303" s="61" t="s">
        <v>21</v>
      </c>
      <c r="B303" s="15" t="s">
        <v>211</v>
      </c>
      <c r="C303" s="55" t="s">
        <v>123</v>
      </c>
      <c r="D303" s="41" t="s">
        <v>215</v>
      </c>
      <c r="E303" s="27" t="s">
        <v>5</v>
      </c>
      <c r="F303" s="76">
        <v>130255</v>
      </c>
      <c r="G303" s="76">
        <v>66443</v>
      </c>
      <c r="H303" s="76">
        <v>63812</v>
      </c>
      <c r="I303" s="76">
        <v>17457</v>
      </c>
      <c r="J303" s="76">
        <v>9135</v>
      </c>
      <c r="K303" s="76">
        <v>8322</v>
      </c>
      <c r="L303" s="76">
        <v>95726</v>
      </c>
      <c r="M303" s="76">
        <v>52483</v>
      </c>
      <c r="N303" s="76">
        <v>43243</v>
      </c>
      <c r="O303" s="29">
        <f t="shared" si="20"/>
        <v>960</v>
      </c>
      <c r="P303" s="29">
        <f t="shared" si="21"/>
        <v>911</v>
      </c>
      <c r="Q303" s="30">
        <f t="shared" si="22"/>
        <v>84.86</v>
      </c>
      <c r="R303" s="30">
        <f t="shared" si="23"/>
        <v>91.58</v>
      </c>
      <c r="S303" s="30">
        <f t="shared" si="24"/>
        <v>77.930000000000007</v>
      </c>
    </row>
    <row r="304" spans="1:19" s="5" customFormat="1" ht="15.95" customHeight="1" x14ac:dyDescent="0.25">
      <c r="A304" s="61" t="s">
        <v>21</v>
      </c>
      <c r="B304" s="15" t="s">
        <v>211</v>
      </c>
      <c r="C304" s="55" t="s">
        <v>55</v>
      </c>
      <c r="D304" s="26" t="s">
        <v>214</v>
      </c>
      <c r="E304" s="36" t="s">
        <v>0</v>
      </c>
      <c r="F304" s="28">
        <v>118550</v>
      </c>
      <c r="G304" s="28">
        <v>62331</v>
      </c>
      <c r="H304" s="28">
        <v>56219</v>
      </c>
      <c r="I304" s="28">
        <v>12295</v>
      </c>
      <c r="J304" s="28">
        <v>6684</v>
      </c>
      <c r="K304" s="28">
        <v>5611</v>
      </c>
      <c r="L304" s="28">
        <v>89110</v>
      </c>
      <c r="M304" s="28">
        <v>49677</v>
      </c>
      <c r="N304" s="28">
        <v>39433</v>
      </c>
      <c r="O304" s="29">
        <f t="shared" si="20"/>
        <v>902</v>
      </c>
      <c r="P304" s="29">
        <f t="shared" si="21"/>
        <v>839</v>
      </c>
      <c r="Q304" s="30">
        <f t="shared" si="22"/>
        <v>83.86</v>
      </c>
      <c r="R304" s="30">
        <f t="shared" si="23"/>
        <v>89.27</v>
      </c>
      <c r="S304" s="30">
        <f t="shared" si="24"/>
        <v>77.92</v>
      </c>
    </row>
    <row r="305" spans="1:19" s="5" customFormat="1" ht="15.95" customHeight="1" x14ac:dyDescent="0.25">
      <c r="A305" s="61" t="s">
        <v>21</v>
      </c>
      <c r="B305" s="15" t="s">
        <v>211</v>
      </c>
      <c r="C305" s="55" t="s">
        <v>60</v>
      </c>
      <c r="D305" s="41" t="s">
        <v>213</v>
      </c>
      <c r="E305" s="27" t="s">
        <v>5</v>
      </c>
      <c r="F305" s="76">
        <v>118059</v>
      </c>
      <c r="G305" s="76">
        <v>59990</v>
      </c>
      <c r="H305" s="76">
        <v>58069</v>
      </c>
      <c r="I305" s="76">
        <v>11042</v>
      </c>
      <c r="J305" s="76">
        <v>6003</v>
      </c>
      <c r="K305" s="76">
        <v>5039</v>
      </c>
      <c r="L305" s="76">
        <v>95116</v>
      </c>
      <c r="M305" s="76">
        <v>50278</v>
      </c>
      <c r="N305" s="76">
        <v>44838</v>
      </c>
      <c r="O305" s="29">
        <f t="shared" si="20"/>
        <v>968</v>
      </c>
      <c r="P305" s="29">
        <f t="shared" si="21"/>
        <v>839</v>
      </c>
      <c r="Q305" s="30">
        <f t="shared" si="22"/>
        <v>88.88</v>
      </c>
      <c r="R305" s="30">
        <f t="shared" si="23"/>
        <v>93.13</v>
      </c>
      <c r="S305" s="30">
        <f t="shared" si="24"/>
        <v>84.55</v>
      </c>
    </row>
    <row r="306" spans="1:19" s="5" customFormat="1" ht="15.95" customHeight="1" x14ac:dyDescent="0.25">
      <c r="A306" s="61" t="s">
        <v>21</v>
      </c>
      <c r="B306" s="15" t="s">
        <v>211</v>
      </c>
      <c r="C306" s="55" t="s">
        <v>55</v>
      </c>
      <c r="D306" s="26" t="s">
        <v>212</v>
      </c>
      <c r="E306" s="36" t="s">
        <v>0</v>
      </c>
      <c r="F306" s="28">
        <v>112064</v>
      </c>
      <c r="G306" s="28">
        <v>58417</v>
      </c>
      <c r="H306" s="28">
        <v>53647</v>
      </c>
      <c r="I306" s="28">
        <v>11591</v>
      </c>
      <c r="J306" s="28">
        <v>6358</v>
      </c>
      <c r="K306" s="28">
        <v>5233</v>
      </c>
      <c r="L306" s="28">
        <v>86139</v>
      </c>
      <c r="M306" s="28">
        <v>47112</v>
      </c>
      <c r="N306" s="28">
        <v>39027</v>
      </c>
      <c r="O306" s="29">
        <f t="shared" si="20"/>
        <v>918</v>
      </c>
      <c r="P306" s="29">
        <f t="shared" si="21"/>
        <v>823</v>
      </c>
      <c r="Q306" s="30">
        <f t="shared" si="22"/>
        <v>85.73</v>
      </c>
      <c r="R306" s="30">
        <f t="shared" si="23"/>
        <v>90.5</v>
      </c>
      <c r="S306" s="30">
        <f t="shared" si="24"/>
        <v>80.61</v>
      </c>
    </row>
    <row r="307" spans="1:19" s="5" customFormat="1" ht="15.95" customHeight="1" x14ac:dyDescent="0.25">
      <c r="A307" s="61" t="s">
        <v>21</v>
      </c>
      <c r="B307" s="15" t="s">
        <v>211</v>
      </c>
      <c r="C307" s="55" t="s">
        <v>7</v>
      </c>
      <c r="D307" s="26" t="s">
        <v>210</v>
      </c>
      <c r="E307" s="36" t="s">
        <v>0</v>
      </c>
      <c r="F307" s="77">
        <v>111149</v>
      </c>
      <c r="G307" s="77">
        <v>58724</v>
      </c>
      <c r="H307" s="77">
        <v>52425</v>
      </c>
      <c r="I307" s="77">
        <v>14192</v>
      </c>
      <c r="J307" s="77">
        <v>7790</v>
      </c>
      <c r="K307" s="77">
        <v>6402</v>
      </c>
      <c r="L307" s="77">
        <v>78219</v>
      </c>
      <c r="M307" s="77">
        <v>45479</v>
      </c>
      <c r="N307" s="77">
        <v>32740</v>
      </c>
      <c r="O307" s="29">
        <f t="shared" si="20"/>
        <v>893</v>
      </c>
      <c r="P307" s="29">
        <f t="shared" si="21"/>
        <v>822</v>
      </c>
      <c r="Q307" s="30">
        <f t="shared" si="22"/>
        <v>80.67</v>
      </c>
      <c r="R307" s="30">
        <f t="shared" si="23"/>
        <v>89.29</v>
      </c>
      <c r="S307" s="30">
        <f t="shared" si="24"/>
        <v>71.14</v>
      </c>
    </row>
    <row r="308" spans="1:19" s="5" customFormat="1" ht="15.95" customHeight="1" x14ac:dyDescent="0.25">
      <c r="A308" s="61" t="s">
        <v>53</v>
      </c>
      <c r="B308" s="15" t="s">
        <v>172</v>
      </c>
      <c r="C308" s="40">
        <v>99</v>
      </c>
      <c r="D308" s="78" t="s">
        <v>209</v>
      </c>
      <c r="E308" s="27" t="s">
        <v>5</v>
      </c>
      <c r="F308" s="79">
        <v>18414288</v>
      </c>
      <c r="G308" s="79">
        <v>9894088</v>
      </c>
      <c r="H308" s="79">
        <v>8520200</v>
      </c>
      <c r="I308" s="79">
        <v>1743997</v>
      </c>
      <c r="J308" s="79">
        <v>917855</v>
      </c>
      <c r="K308" s="79">
        <v>826142</v>
      </c>
      <c r="L308" s="79">
        <v>15132568</v>
      </c>
      <c r="M308" s="79">
        <v>8423992</v>
      </c>
      <c r="N308" s="79">
        <v>6708576</v>
      </c>
      <c r="O308" s="29">
        <f t="shared" si="20"/>
        <v>861</v>
      </c>
      <c r="P308" s="29">
        <f t="shared" si="21"/>
        <v>900</v>
      </c>
      <c r="Q308" s="30">
        <f t="shared" si="22"/>
        <v>90.78</v>
      </c>
      <c r="R308" s="30">
        <f t="shared" si="23"/>
        <v>93.85</v>
      </c>
      <c r="S308" s="30">
        <f t="shared" si="24"/>
        <v>87.19</v>
      </c>
    </row>
    <row r="309" spans="1:19" s="5" customFormat="1" ht="15.95" customHeight="1" x14ac:dyDescent="0.25">
      <c r="A309" s="61" t="s">
        <v>53</v>
      </c>
      <c r="B309" s="15" t="s">
        <v>172</v>
      </c>
      <c r="C309" s="80">
        <v>25</v>
      </c>
      <c r="D309" s="78" t="s">
        <v>208</v>
      </c>
      <c r="E309" s="27" t="s">
        <v>5</v>
      </c>
      <c r="F309" s="79">
        <v>5049968</v>
      </c>
      <c r="G309" s="79">
        <v>2659484</v>
      </c>
      <c r="H309" s="79">
        <v>2390484</v>
      </c>
      <c r="I309" s="79">
        <v>561004</v>
      </c>
      <c r="J309" s="79">
        <v>297943</v>
      </c>
      <c r="K309" s="79">
        <v>263061</v>
      </c>
      <c r="L309" s="79">
        <v>4103766</v>
      </c>
      <c r="M309" s="79">
        <v>2243534</v>
      </c>
      <c r="N309" s="79">
        <v>1860232</v>
      </c>
      <c r="O309" s="29">
        <f t="shared" si="20"/>
        <v>899</v>
      </c>
      <c r="P309" s="29">
        <f t="shared" si="21"/>
        <v>883</v>
      </c>
      <c r="Q309" s="30">
        <f t="shared" si="22"/>
        <v>91.42</v>
      </c>
      <c r="R309" s="30">
        <f t="shared" si="23"/>
        <v>95</v>
      </c>
      <c r="S309" s="30">
        <f t="shared" si="24"/>
        <v>87.44</v>
      </c>
    </row>
    <row r="310" spans="1:19" s="5" customFormat="1" ht="15.95" customHeight="1" x14ac:dyDescent="0.25">
      <c r="A310" s="61" t="s">
        <v>53</v>
      </c>
      <c r="B310" s="15" t="s">
        <v>172</v>
      </c>
      <c r="C310" s="81" t="s">
        <v>55</v>
      </c>
      <c r="D310" s="78" t="s">
        <v>207</v>
      </c>
      <c r="E310" s="27" t="s">
        <v>5</v>
      </c>
      <c r="F310" s="82">
        <v>2497777</v>
      </c>
      <c r="G310" s="82">
        <v>1275750</v>
      </c>
      <c r="H310" s="82">
        <v>1222027</v>
      </c>
      <c r="I310" s="82">
        <v>248678</v>
      </c>
      <c r="J310" s="82">
        <v>129522</v>
      </c>
      <c r="K310" s="82">
        <v>119156</v>
      </c>
      <c r="L310" s="82">
        <v>2095419</v>
      </c>
      <c r="M310" s="82">
        <v>1102638</v>
      </c>
      <c r="N310" s="82">
        <v>992781</v>
      </c>
      <c r="O310" s="29">
        <f t="shared" si="20"/>
        <v>958</v>
      </c>
      <c r="P310" s="29">
        <f t="shared" si="21"/>
        <v>920</v>
      </c>
      <c r="Q310" s="30">
        <f t="shared" si="22"/>
        <v>93.17</v>
      </c>
      <c r="R310" s="30">
        <f t="shared" si="23"/>
        <v>96.2</v>
      </c>
      <c r="S310" s="30">
        <f t="shared" si="24"/>
        <v>90.02</v>
      </c>
    </row>
    <row r="311" spans="1:19" s="5" customFormat="1" ht="15.95" customHeight="1" x14ac:dyDescent="0.25">
      <c r="A311" s="61" t="s">
        <v>53</v>
      </c>
      <c r="B311" s="15" t="s">
        <v>172</v>
      </c>
      <c r="C311" s="80">
        <v>20</v>
      </c>
      <c r="D311" s="78" t="s">
        <v>206</v>
      </c>
      <c r="E311" s="27" t="s">
        <v>5</v>
      </c>
      <c r="F311" s="79">
        <v>1562769</v>
      </c>
      <c r="G311" s="79">
        <v>824641</v>
      </c>
      <c r="H311" s="79">
        <v>738128</v>
      </c>
      <c r="I311" s="79">
        <v>177966</v>
      </c>
      <c r="J311" s="79">
        <v>95924</v>
      </c>
      <c r="K311" s="79">
        <v>82042</v>
      </c>
      <c r="L311" s="79">
        <v>1259723</v>
      </c>
      <c r="M311" s="79">
        <v>692426</v>
      </c>
      <c r="N311" s="79">
        <v>567297</v>
      </c>
      <c r="O311" s="29">
        <f t="shared" si="20"/>
        <v>895</v>
      </c>
      <c r="P311" s="29">
        <f t="shared" si="21"/>
        <v>855</v>
      </c>
      <c r="Q311" s="30">
        <f t="shared" si="22"/>
        <v>90.97</v>
      </c>
      <c r="R311" s="30">
        <f t="shared" si="23"/>
        <v>95.02</v>
      </c>
      <c r="S311" s="30">
        <f t="shared" si="24"/>
        <v>86.47</v>
      </c>
    </row>
    <row r="312" spans="1:19" s="5" customFormat="1" ht="15.95" customHeight="1" x14ac:dyDescent="0.25">
      <c r="A312" s="61" t="s">
        <v>53</v>
      </c>
      <c r="B312" s="15" t="s">
        <v>172</v>
      </c>
      <c r="C312" s="83">
        <v>21</v>
      </c>
      <c r="D312" s="78" t="s">
        <v>205</v>
      </c>
      <c r="E312" s="36" t="s">
        <v>0</v>
      </c>
      <c r="F312" s="82">
        <v>1221233</v>
      </c>
      <c r="G312" s="82">
        <v>649535</v>
      </c>
      <c r="H312" s="82">
        <v>571698</v>
      </c>
      <c r="I312" s="82">
        <v>137343</v>
      </c>
      <c r="J312" s="82">
        <v>71716</v>
      </c>
      <c r="K312" s="82">
        <v>65627</v>
      </c>
      <c r="L312" s="82">
        <v>987916</v>
      </c>
      <c r="M312" s="82">
        <v>548138</v>
      </c>
      <c r="N312" s="82">
        <v>439778</v>
      </c>
      <c r="O312" s="29">
        <f t="shared" si="20"/>
        <v>880</v>
      </c>
      <c r="P312" s="29">
        <f t="shared" si="21"/>
        <v>915</v>
      </c>
      <c r="Q312" s="30">
        <f t="shared" si="22"/>
        <v>91.15</v>
      </c>
      <c r="R312" s="30">
        <f t="shared" si="23"/>
        <v>94.86</v>
      </c>
      <c r="S312" s="30">
        <f t="shared" si="24"/>
        <v>86.9</v>
      </c>
    </row>
    <row r="313" spans="1:19" s="5" customFormat="1" ht="15.95" customHeight="1" x14ac:dyDescent="0.25">
      <c r="A313" s="61" t="s">
        <v>53</v>
      </c>
      <c r="B313" s="15" t="s">
        <v>172</v>
      </c>
      <c r="C313" s="80">
        <v>19</v>
      </c>
      <c r="D313" s="78" t="s">
        <v>204</v>
      </c>
      <c r="E313" s="27" t="s">
        <v>5</v>
      </c>
      <c r="F313" s="79">
        <v>1189376</v>
      </c>
      <c r="G313" s="79">
        <v>620097</v>
      </c>
      <c r="H313" s="79">
        <v>569279</v>
      </c>
      <c r="I313" s="79">
        <v>154067</v>
      </c>
      <c r="J313" s="79">
        <v>82867</v>
      </c>
      <c r="K313" s="79">
        <v>71200</v>
      </c>
      <c r="L313" s="79">
        <v>923128</v>
      </c>
      <c r="M313" s="79">
        <v>505531</v>
      </c>
      <c r="N313" s="79">
        <v>417597</v>
      </c>
      <c r="O313" s="29">
        <f t="shared" si="20"/>
        <v>918</v>
      </c>
      <c r="P313" s="29">
        <f t="shared" si="21"/>
        <v>859</v>
      </c>
      <c r="Q313" s="30">
        <f t="shared" si="22"/>
        <v>89.16</v>
      </c>
      <c r="R313" s="30">
        <f t="shared" si="23"/>
        <v>94.1</v>
      </c>
      <c r="S313" s="30">
        <f t="shared" si="24"/>
        <v>83.84</v>
      </c>
    </row>
    <row r="314" spans="1:19" s="5" customFormat="1" ht="15.95" customHeight="1" x14ac:dyDescent="0.25">
      <c r="A314" s="61" t="s">
        <v>53</v>
      </c>
      <c r="B314" s="15" t="s">
        <v>172</v>
      </c>
      <c r="C314" s="83" t="s">
        <v>39</v>
      </c>
      <c r="D314" s="78" t="s">
        <v>203</v>
      </c>
      <c r="E314" s="36" t="s">
        <v>0</v>
      </c>
      <c r="F314" s="82">
        <v>951118</v>
      </c>
      <c r="G314" s="82">
        <v>482194</v>
      </c>
      <c r="H314" s="82">
        <v>468924</v>
      </c>
      <c r="I314" s="82">
        <v>104466</v>
      </c>
      <c r="J314" s="82">
        <v>54728</v>
      </c>
      <c r="K314" s="82">
        <v>49738</v>
      </c>
      <c r="L314" s="82">
        <v>710180</v>
      </c>
      <c r="M314" s="82">
        <v>390335</v>
      </c>
      <c r="N314" s="82">
        <v>319845</v>
      </c>
      <c r="O314" s="29">
        <f t="shared" si="20"/>
        <v>972</v>
      </c>
      <c r="P314" s="29">
        <f t="shared" si="21"/>
        <v>909</v>
      </c>
      <c r="Q314" s="30">
        <f t="shared" si="22"/>
        <v>83.88</v>
      </c>
      <c r="R314" s="30">
        <f t="shared" si="23"/>
        <v>91.31</v>
      </c>
      <c r="S314" s="30">
        <f t="shared" si="24"/>
        <v>76.3</v>
      </c>
    </row>
    <row r="315" spans="1:19" s="5" customFormat="1" ht="15.95" customHeight="1" x14ac:dyDescent="0.25">
      <c r="A315" s="61" t="s">
        <v>53</v>
      </c>
      <c r="B315" s="15" t="s">
        <v>172</v>
      </c>
      <c r="C315" s="80">
        <v>21</v>
      </c>
      <c r="D315" s="78" t="s">
        <v>202</v>
      </c>
      <c r="E315" s="27" t="s">
        <v>5</v>
      </c>
      <c r="F315" s="79">
        <v>737411</v>
      </c>
      <c r="G315" s="79">
        <v>434975</v>
      </c>
      <c r="H315" s="79">
        <v>302436</v>
      </c>
      <c r="I315" s="79">
        <v>91796</v>
      </c>
      <c r="J315" s="79">
        <v>47483</v>
      </c>
      <c r="K315" s="79">
        <v>44313</v>
      </c>
      <c r="L315" s="79">
        <v>525930</v>
      </c>
      <c r="M315" s="79">
        <v>326853</v>
      </c>
      <c r="N315" s="79">
        <v>199077</v>
      </c>
      <c r="O315" s="29">
        <f t="shared" si="20"/>
        <v>695</v>
      </c>
      <c r="P315" s="29">
        <f t="shared" si="21"/>
        <v>933</v>
      </c>
      <c r="Q315" s="30">
        <f t="shared" si="22"/>
        <v>81.459999999999994</v>
      </c>
      <c r="R315" s="30">
        <f t="shared" si="23"/>
        <v>84.35</v>
      </c>
      <c r="S315" s="30">
        <f t="shared" si="24"/>
        <v>77.12</v>
      </c>
    </row>
    <row r="316" spans="1:19" s="5" customFormat="1" ht="15.95" customHeight="1" x14ac:dyDescent="0.25">
      <c r="A316" s="61" t="s">
        <v>53</v>
      </c>
      <c r="B316" s="15" t="s">
        <v>172</v>
      </c>
      <c r="C316" s="83" t="s">
        <v>57</v>
      </c>
      <c r="D316" s="78" t="s">
        <v>201</v>
      </c>
      <c r="E316" s="36" t="s">
        <v>0</v>
      </c>
      <c r="F316" s="82">
        <v>646801</v>
      </c>
      <c r="G316" s="82">
        <v>330544</v>
      </c>
      <c r="H316" s="82">
        <v>316257</v>
      </c>
      <c r="I316" s="82">
        <v>62497</v>
      </c>
      <c r="J316" s="82">
        <v>32713</v>
      </c>
      <c r="K316" s="82">
        <v>29784</v>
      </c>
      <c r="L316" s="82">
        <v>543568</v>
      </c>
      <c r="M316" s="82">
        <v>284490</v>
      </c>
      <c r="N316" s="82">
        <v>259078</v>
      </c>
      <c r="O316" s="29">
        <f t="shared" si="20"/>
        <v>957</v>
      </c>
      <c r="P316" s="29">
        <f t="shared" si="21"/>
        <v>910</v>
      </c>
      <c r="Q316" s="30">
        <f t="shared" si="22"/>
        <v>93.03</v>
      </c>
      <c r="R316" s="30">
        <f t="shared" si="23"/>
        <v>95.52</v>
      </c>
      <c r="S316" s="30">
        <f t="shared" si="24"/>
        <v>90.44</v>
      </c>
    </row>
    <row r="317" spans="1:19" s="5" customFormat="1" ht="15.95" customHeight="1" x14ac:dyDescent="0.25">
      <c r="A317" s="61" t="s">
        <v>53</v>
      </c>
      <c r="B317" s="15" t="s">
        <v>172</v>
      </c>
      <c r="C317" s="80">
        <v>20</v>
      </c>
      <c r="D317" s="78" t="s">
        <v>200</v>
      </c>
      <c r="E317" s="27" t="s">
        <v>5</v>
      </c>
      <c r="F317" s="79">
        <v>576425</v>
      </c>
      <c r="G317" s="79">
        <v>293976</v>
      </c>
      <c r="H317" s="79">
        <v>282449</v>
      </c>
      <c r="I317" s="79">
        <v>90654</v>
      </c>
      <c r="J317" s="79">
        <v>46822</v>
      </c>
      <c r="K317" s="79">
        <v>43832</v>
      </c>
      <c r="L317" s="79">
        <v>417635</v>
      </c>
      <c r="M317" s="79">
        <v>221530</v>
      </c>
      <c r="N317" s="79">
        <v>196105</v>
      </c>
      <c r="O317" s="29">
        <f t="shared" si="20"/>
        <v>961</v>
      </c>
      <c r="P317" s="29">
        <f t="shared" si="21"/>
        <v>936</v>
      </c>
      <c r="Q317" s="30">
        <f t="shared" si="22"/>
        <v>85.97</v>
      </c>
      <c r="R317" s="30">
        <f t="shared" si="23"/>
        <v>89.63</v>
      </c>
      <c r="S317" s="30">
        <f t="shared" si="24"/>
        <v>82.18</v>
      </c>
    </row>
    <row r="318" spans="1:19" s="5" customFormat="1" ht="15.95" customHeight="1" x14ac:dyDescent="0.25">
      <c r="A318" s="61" t="s">
        <v>53</v>
      </c>
      <c r="B318" s="15" t="s">
        <v>172</v>
      </c>
      <c r="C318" s="80">
        <v>34</v>
      </c>
      <c r="D318" s="78" t="s">
        <v>199</v>
      </c>
      <c r="E318" s="27" t="s">
        <v>5</v>
      </c>
      <c r="F318" s="79">
        <v>561841</v>
      </c>
      <c r="G318" s="79">
        <v>287376</v>
      </c>
      <c r="H318" s="79">
        <v>274465</v>
      </c>
      <c r="I318" s="79">
        <v>51157</v>
      </c>
      <c r="J318" s="79">
        <v>27912</v>
      </c>
      <c r="K318" s="79">
        <v>23245</v>
      </c>
      <c r="L318" s="79">
        <v>470675</v>
      </c>
      <c r="M318" s="79">
        <v>250000</v>
      </c>
      <c r="N318" s="79">
        <v>220675</v>
      </c>
      <c r="O318" s="29">
        <f t="shared" si="20"/>
        <v>955</v>
      </c>
      <c r="P318" s="29">
        <f t="shared" si="21"/>
        <v>833</v>
      </c>
      <c r="Q318" s="30">
        <f t="shared" si="22"/>
        <v>92.17</v>
      </c>
      <c r="R318" s="30">
        <f t="shared" si="23"/>
        <v>96.35</v>
      </c>
      <c r="S318" s="30">
        <f t="shared" si="24"/>
        <v>87.84</v>
      </c>
    </row>
    <row r="319" spans="1:19" s="5" customFormat="1" ht="15.95" customHeight="1" x14ac:dyDescent="0.25">
      <c r="A319" s="61" t="s">
        <v>53</v>
      </c>
      <c r="B319" s="15" t="s">
        <v>172</v>
      </c>
      <c r="C319" s="83" t="s">
        <v>103</v>
      </c>
      <c r="D319" s="78" t="s">
        <v>198</v>
      </c>
      <c r="E319" s="36" t="s">
        <v>0</v>
      </c>
      <c r="F319" s="82">
        <v>550564</v>
      </c>
      <c r="G319" s="82">
        <v>286152</v>
      </c>
      <c r="H319" s="82">
        <v>264412</v>
      </c>
      <c r="I319" s="82">
        <v>68181</v>
      </c>
      <c r="J319" s="82">
        <v>36417</v>
      </c>
      <c r="K319" s="82">
        <v>31764</v>
      </c>
      <c r="L319" s="82">
        <v>421606</v>
      </c>
      <c r="M319" s="82">
        <v>231449</v>
      </c>
      <c r="N319" s="82">
        <v>190157</v>
      </c>
      <c r="O319" s="29">
        <f t="shared" si="20"/>
        <v>924</v>
      </c>
      <c r="P319" s="29">
        <f t="shared" si="21"/>
        <v>872</v>
      </c>
      <c r="Q319" s="30">
        <f t="shared" si="22"/>
        <v>87.4</v>
      </c>
      <c r="R319" s="30">
        <f t="shared" si="23"/>
        <v>92.68</v>
      </c>
      <c r="S319" s="30">
        <f t="shared" si="24"/>
        <v>81.739999999999995</v>
      </c>
    </row>
    <row r="320" spans="1:19" s="5" customFormat="1" ht="15.95" customHeight="1" x14ac:dyDescent="0.25">
      <c r="A320" s="61" t="s">
        <v>53</v>
      </c>
      <c r="B320" s="15" t="s">
        <v>172</v>
      </c>
      <c r="C320" s="80">
        <v>35</v>
      </c>
      <c r="D320" s="78" t="s">
        <v>197</v>
      </c>
      <c r="E320" s="27" t="s">
        <v>5</v>
      </c>
      <c r="F320" s="79">
        <v>513862</v>
      </c>
      <c r="G320" s="79">
        <v>260956</v>
      </c>
      <c r="H320" s="79">
        <v>252906</v>
      </c>
      <c r="I320" s="79">
        <v>52775</v>
      </c>
      <c r="J320" s="79">
        <v>28179</v>
      </c>
      <c r="K320" s="79">
        <v>24596</v>
      </c>
      <c r="L320" s="79">
        <v>406145</v>
      </c>
      <c r="M320" s="79">
        <v>217461</v>
      </c>
      <c r="N320" s="79">
        <v>188684</v>
      </c>
      <c r="O320" s="29">
        <f t="shared" si="20"/>
        <v>969</v>
      </c>
      <c r="P320" s="29">
        <f t="shared" si="21"/>
        <v>873</v>
      </c>
      <c r="Q320" s="30">
        <f t="shared" si="22"/>
        <v>88.08</v>
      </c>
      <c r="R320" s="30">
        <f t="shared" si="23"/>
        <v>93.42</v>
      </c>
      <c r="S320" s="30">
        <f t="shared" si="24"/>
        <v>82.64</v>
      </c>
    </row>
    <row r="321" spans="1:19" s="5" customFormat="1" ht="15.95" customHeight="1" x14ac:dyDescent="0.25">
      <c r="A321" s="61" t="s">
        <v>53</v>
      </c>
      <c r="B321" s="15" t="s">
        <v>172</v>
      </c>
      <c r="C321" s="83" t="s">
        <v>2</v>
      </c>
      <c r="D321" s="78" t="s">
        <v>196</v>
      </c>
      <c r="E321" s="36" t="s">
        <v>0</v>
      </c>
      <c r="F321" s="82">
        <v>460468</v>
      </c>
      <c r="G321" s="82">
        <v>241228</v>
      </c>
      <c r="H321" s="82">
        <v>219240</v>
      </c>
      <c r="I321" s="82">
        <v>51544</v>
      </c>
      <c r="J321" s="82">
        <v>28548</v>
      </c>
      <c r="K321" s="82">
        <v>22996</v>
      </c>
      <c r="L321" s="82">
        <v>363778</v>
      </c>
      <c r="M321" s="82">
        <v>198426</v>
      </c>
      <c r="N321" s="82">
        <v>165352</v>
      </c>
      <c r="O321" s="29">
        <f t="shared" si="20"/>
        <v>909</v>
      </c>
      <c r="P321" s="29">
        <f t="shared" si="21"/>
        <v>806</v>
      </c>
      <c r="Q321" s="30">
        <f t="shared" si="22"/>
        <v>88.96</v>
      </c>
      <c r="R321" s="30">
        <f t="shared" si="23"/>
        <v>93.3</v>
      </c>
      <c r="S321" s="30">
        <f t="shared" si="24"/>
        <v>84.26</v>
      </c>
    </row>
    <row r="322" spans="1:19" s="5" customFormat="1" ht="15.95" customHeight="1" x14ac:dyDescent="0.25">
      <c r="A322" s="61" t="s">
        <v>53</v>
      </c>
      <c r="B322" s="15" t="s">
        <v>172</v>
      </c>
      <c r="C322" s="83" t="s">
        <v>25</v>
      </c>
      <c r="D322" s="78" t="s">
        <v>195</v>
      </c>
      <c r="E322" s="36" t="s">
        <v>0</v>
      </c>
      <c r="F322" s="82">
        <v>427146</v>
      </c>
      <c r="G322" s="82">
        <v>218184</v>
      </c>
      <c r="H322" s="82">
        <v>208962</v>
      </c>
      <c r="I322" s="82">
        <v>46500</v>
      </c>
      <c r="J322" s="82">
        <v>24488</v>
      </c>
      <c r="K322" s="82">
        <v>22012</v>
      </c>
      <c r="L322" s="82">
        <v>347687</v>
      </c>
      <c r="M322" s="82">
        <v>183594</v>
      </c>
      <c r="N322" s="82">
        <v>164093</v>
      </c>
      <c r="O322" s="29">
        <f t="shared" si="20"/>
        <v>958</v>
      </c>
      <c r="P322" s="29">
        <f t="shared" si="21"/>
        <v>899</v>
      </c>
      <c r="Q322" s="30">
        <f t="shared" si="22"/>
        <v>91.34</v>
      </c>
      <c r="R322" s="30">
        <f t="shared" si="23"/>
        <v>94.78</v>
      </c>
      <c r="S322" s="30">
        <f t="shared" si="24"/>
        <v>87.77</v>
      </c>
    </row>
    <row r="323" spans="1:19" s="5" customFormat="1" ht="15.95" customHeight="1" x14ac:dyDescent="0.25">
      <c r="A323" s="61" t="s">
        <v>53</v>
      </c>
      <c r="B323" s="15" t="s">
        <v>172</v>
      </c>
      <c r="C323" s="83" t="s">
        <v>37</v>
      </c>
      <c r="D323" s="78" t="s">
        <v>194</v>
      </c>
      <c r="E323" s="36" t="s">
        <v>0</v>
      </c>
      <c r="F323" s="82">
        <v>382754</v>
      </c>
      <c r="G323" s="82">
        <v>198151</v>
      </c>
      <c r="H323" s="82">
        <v>184603</v>
      </c>
      <c r="I323" s="82">
        <v>45822</v>
      </c>
      <c r="J323" s="82">
        <v>24773</v>
      </c>
      <c r="K323" s="82">
        <v>21049</v>
      </c>
      <c r="L323" s="82">
        <v>291226</v>
      </c>
      <c r="M323" s="82">
        <v>160070</v>
      </c>
      <c r="N323" s="82">
        <v>131156</v>
      </c>
      <c r="O323" s="29">
        <f t="shared" si="20"/>
        <v>932</v>
      </c>
      <c r="P323" s="29">
        <f t="shared" si="21"/>
        <v>850</v>
      </c>
      <c r="Q323" s="30">
        <f t="shared" si="22"/>
        <v>86.43</v>
      </c>
      <c r="R323" s="30">
        <f t="shared" si="23"/>
        <v>92.32</v>
      </c>
      <c r="S323" s="30">
        <f t="shared" si="24"/>
        <v>80.19</v>
      </c>
    </row>
    <row r="324" spans="1:19" s="5" customFormat="1" ht="15.95" customHeight="1" x14ac:dyDescent="0.25">
      <c r="A324" s="61" t="s">
        <v>53</v>
      </c>
      <c r="B324" s="15" t="s">
        <v>172</v>
      </c>
      <c r="C324" s="80">
        <v>26</v>
      </c>
      <c r="D324" s="78" t="s">
        <v>193</v>
      </c>
      <c r="E324" s="27" t="s">
        <v>5</v>
      </c>
      <c r="F324" s="79">
        <v>379867</v>
      </c>
      <c r="G324" s="79">
        <v>196344</v>
      </c>
      <c r="H324" s="79">
        <v>183523</v>
      </c>
      <c r="I324" s="79">
        <v>39836</v>
      </c>
      <c r="J324" s="79">
        <v>21434</v>
      </c>
      <c r="K324" s="79">
        <v>18402</v>
      </c>
      <c r="L324" s="79">
        <v>311603</v>
      </c>
      <c r="M324" s="79">
        <v>167369</v>
      </c>
      <c r="N324" s="79">
        <v>144234</v>
      </c>
      <c r="O324" s="29">
        <f t="shared" ref="O324:O387" si="25">ROUND((H324/G324)*1000,0)</f>
        <v>935</v>
      </c>
      <c r="P324" s="29">
        <f t="shared" ref="P324:P387" si="26">ROUND((K324/J324)*1000,0)</f>
        <v>859</v>
      </c>
      <c r="Q324" s="30">
        <f t="shared" ref="Q324:Q387" si="27">ROUND(L324/(F324-I324)*100,2)</f>
        <v>91.64</v>
      </c>
      <c r="R324" s="30">
        <f t="shared" ref="R324:R387" si="28">ROUND(M324/(G324-J324)*100,2)</f>
        <v>95.69</v>
      </c>
      <c r="S324" s="30">
        <f t="shared" ref="S324:S387" si="29">ROUND(N324/(H324-K324)*100,2)</f>
        <v>87.35</v>
      </c>
    </row>
    <row r="325" spans="1:19" s="5" customFormat="1" ht="15.95" customHeight="1" x14ac:dyDescent="0.25">
      <c r="A325" s="61" t="s">
        <v>53</v>
      </c>
      <c r="B325" s="15" t="s">
        <v>172</v>
      </c>
      <c r="C325" s="83" t="s">
        <v>7</v>
      </c>
      <c r="D325" s="78" t="s">
        <v>192</v>
      </c>
      <c r="E325" s="36" t="s">
        <v>0</v>
      </c>
      <c r="F325" s="82">
        <v>376093</v>
      </c>
      <c r="G325" s="82">
        <v>193854</v>
      </c>
      <c r="H325" s="82">
        <v>182239</v>
      </c>
      <c r="I325" s="82">
        <v>43677</v>
      </c>
      <c r="J325" s="82">
        <v>23246</v>
      </c>
      <c r="K325" s="82">
        <v>20431</v>
      </c>
      <c r="L325" s="82">
        <v>298693</v>
      </c>
      <c r="M325" s="82">
        <v>160511</v>
      </c>
      <c r="N325" s="82">
        <v>138182</v>
      </c>
      <c r="O325" s="29">
        <f t="shared" si="25"/>
        <v>940</v>
      </c>
      <c r="P325" s="29">
        <f t="shared" si="26"/>
        <v>879</v>
      </c>
      <c r="Q325" s="30">
        <f t="shared" si="27"/>
        <v>89.86</v>
      </c>
      <c r="R325" s="30">
        <f t="shared" si="28"/>
        <v>94.08</v>
      </c>
      <c r="S325" s="30">
        <f t="shared" si="29"/>
        <v>85.4</v>
      </c>
    </row>
    <row r="326" spans="1:19" s="5" customFormat="1" ht="15.95" customHeight="1" x14ac:dyDescent="0.25">
      <c r="A326" s="61" t="s">
        <v>53</v>
      </c>
      <c r="B326" s="15" t="s">
        <v>172</v>
      </c>
      <c r="C326" s="83">
        <v>34</v>
      </c>
      <c r="D326" s="78" t="s">
        <v>191</v>
      </c>
      <c r="E326" s="27" t="s">
        <v>5</v>
      </c>
      <c r="F326" s="79">
        <v>325709</v>
      </c>
      <c r="G326" s="79">
        <v>169870</v>
      </c>
      <c r="H326" s="79">
        <v>155839</v>
      </c>
      <c r="I326" s="79">
        <v>37105</v>
      </c>
      <c r="J326" s="79">
        <v>19642</v>
      </c>
      <c r="K326" s="79">
        <v>17463</v>
      </c>
      <c r="L326" s="79">
        <v>253731</v>
      </c>
      <c r="M326" s="79">
        <v>140773</v>
      </c>
      <c r="N326" s="79">
        <v>112958</v>
      </c>
      <c r="O326" s="29">
        <f t="shared" si="25"/>
        <v>917</v>
      </c>
      <c r="P326" s="29">
        <f t="shared" si="26"/>
        <v>889</v>
      </c>
      <c r="Q326" s="30">
        <f t="shared" si="27"/>
        <v>87.92</v>
      </c>
      <c r="R326" s="30">
        <f t="shared" si="28"/>
        <v>93.71</v>
      </c>
      <c r="S326" s="30">
        <f t="shared" si="29"/>
        <v>81.63</v>
      </c>
    </row>
    <row r="327" spans="1:19" s="5" customFormat="1" ht="15.95" customHeight="1" x14ac:dyDescent="0.25">
      <c r="A327" s="61" t="s">
        <v>53</v>
      </c>
      <c r="B327" s="15" t="s">
        <v>172</v>
      </c>
      <c r="C327" s="83" t="s">
        <v>60</v>
      </c>
      <c r="D327" s="78" t="s">
        <v>190</v>
      </c>
      <c r="E327" s="36" t="s">
        <v>0</v>
      </c>
      <c r="F327" s="82">
        <v>321036</v>
      </c>
      <c r="G327" s="82">
        <v>165125</v>
      </c>
      <c r="H327" s="82">
        <v>155911</v>
      </c>
      <c r="I327" s="82">
        <v>30353</v>
      </c>
      <c r="J327" s="82">
        <v>15921</v>
      </c>
      <c r="K327" s="82">
        <v>14432</v>
      </c>
      <c r="L327" s="82">
        <v>263962</v>
      </c>
      <c r="M327" s="82">
        <v>142528</v>
      </c>
      <c r="N327" s="82">
        <v>121434</v>
      </c>
      <c r="O327" s="29">
        <f t="shared" si="25"/>
        <v>944</v>
      </c>
      <c r="P327" s="29">
        <f t="shared" si="26"/>
        <v>906</v>
      </c>
      <c r="Q327" s="30">
        <f t="shared" si="27"/>
        <v>90.81</v>
      </c>
      <c r="R327" s="30">
        <f t="shared" si="28"/>
        <v>95.53</v>
      </c>
      <c r="S327" s="30">
        <f t="shared" si="29"/>
        <v>85.83</v>
      </c>
    </row>
    <row r="328" spans="1:19" s="5" customFormat="1" ht="15.95" customHeight="1" x14ac:dyDescent="0.25">
      <c r="A328" s="61" t="s">
        <v>53</v>
      </c>
      <c r="B328" s="15" t="s">
        <v>172</v>
      </c>
      <c r="C328" s="83" t="s">
        <v>11</v>
      </c>
      <c r="D328" s="78" t="s">
        <v>189</v>
      </c>
      <c r="E328" s="36" t="s">
        <v>0</v>
      </c>
      <c r="F328" s="82">
        <v>307191</v>
      </c>
      <c r="G328" s="82">
        <v>157628</v>
      </c>
      <c r="H328" s="82">
        <v>149563</v>
      </c>
      <c r="I328" s="82">
        <v>40075</v>
      </c>
      <c r="J328" s="82">
        <v>21187</v>
      </c>
      <c r="K328" s="82">
        <v>18888</v>
      </c>
      <c r="L328" s="82">
        <v>225298</v>
      </c>
      <c r="M328" s="82">
        <v>123760</v>
      </c>
      <c r="N328" s="82">
        <v>101538</v>
      </c>
      <c r="O328" s="29">
        <f t="shared" si="25"/>
        <v>949</v>
      </c>
      <c r="P328" s="29">
        <f t="shared" si="26"/>
        <v>891</v>
      </c>
      <c r="Q328" s="30">
        <f t="shared" si="27"/>
        <v>84.34</v>
      </c>
      <c r="R328" s="30">
        <f t="shared" si="28"/>
        <v>90.71</v>
      </c>
      <c r="S328" s="30">
        <f t="shared" si="29"/>
        <v>77.7</v>
      </c>
    </row>
    <row r="329" spans="1:19" s="5" customFormat="1" ht="15.95" customHeight="1" x14ac:dyDescent="0.25">
      <c r="A329" s="61" t="s">
        <v>53</v>
      </c>
      <c r="B329" s="15" t="s">
        <v>172</v>
      </c>
      <c r="C329" s="83" t="s">
        <v>123</v>
      </c>
      <c r="D329" s="78" t="s">
        <v>188</v>
      </c>
      <c r="E329" s="36" t="s">
        <v>0</v>
      </c>
      <c r="F329" s="82">
        <v>285349</v>
      </c>
      <c r="G329" s="82">
        <v>147714</v>
      </c>
      <c r="H329" s="82">
        <v>137635</v>
      </c>
      <c r="I329" s="82">
        <v>37695</v>
      </c>
      <c r="J329" s="82">
        <v>19982</v>
      </c>
      <c r="K329" s="82">
        <v>17713</v>
      </c>
      <c r="L329" s="82">
        <v>209531</v>
      </c>
      <c r="M329" s="82">
        <v>116300</v>
      </c>
      <c r="N329" s="82">
        <v>93231</v>
      </c>
      <c r="O329" s="29">
        <f t="shared" si="25"/>
        <v>932</v>
      </c>
      <c r="P329" s="29">
        <f t="shared" si="26"/>
        <v>886</v>
      </c>
      <c r="Q329" s="30">
        <f t="shared" si="27"/>
        <v>84.61</v>
      </c>
      <c r="R329" s="30">
        <f t="shared" si="28"/>
        <v>91.05</v>
      </c>
      <c r="S329" s="30">
        <f t="shared" si="29"/>
        <v>77.739999999999995</v>
      </c>
    </row>
    <row r="330" spans="1:19" s="5" customFormat="1" ht="15.95" customHeight="1" x14ac:dyDescent="0.25">
      <c r="A330" s="61" t="s">
        <v>53</v>
      </c>
      <c r="B330" s="15" t="s">
        <v>172</v>
      </c>
      <c r="C330" s="81" t="s">
        <v>2</v>
      </c>
      <c r="D330" s="78" t="s">
        <v>187</v>
      </c>
      <c r="E330" s="27" t="s">
        <v>5</v>
      </c>
      <c r="F330" s="79">
        <v>204016</v>
      </c>
      <c r="G330" s="79">
        <v>105164</v>
      </c>
      <c r="H330" s="79">
        <v>98852</v>
      </c>
      <c r="I330" s="79">
        <v>21272</v>
      </c>
      <c r="J330" s="79">
        <v>11499</v>
      </c>
      <c r="K330" s="79">
        <v>9773</v>
      </c>
      <c r="L330" s="79">
        <v>165435</v>
      </c>
      <c r="M330" s="79">
        <v>88928</v>
      </c>
      <c r="N330" s="79">
        <v>76507</v>
      </c>
      <c r="O330" s="29">
        <f t="shared" si="25"/>
        <v>940</v>
      </c>
      <c r="P330" s="29">
        <f t="shared" si="26"/>
        <v>850</v>
      </c>
      <c r="Q330" s="30">
        <f t="shared" si="27"/>
        <v>90.53</v>
      </c>
      <c r="R330" s="30">
        <f t="shared" si="28"/>
        <v>94.94</v>
      </c>
      <c r="S330" s="30">
        <f t="shared" si="29"/>
        <v>85.89</v>
      </c>
    </row>
    <row r="331" spans="1:19" s="5" customFormat="1" ht="15.95" customHeight="1" x14ac:dyDescent="0.25">
      <c r="A331" s="61" t="s">
        <v>53</v>
      </c>
      <c r="B331" s="15" t="s">
        <v>172</v>
      </c>
      <c r="C331" s="83" t="s">
        <v>21</v>
      </c>
      <c r="D331" s="78" t="s">
        <v>186</v>
      </c>
      <c r="E331" s="36" t="s">
        <v>185</v>
      </c>
      <c r="F331" s="82">
        <v>194999</v>
      </c>
      <c r="G331" s="82">
        <v>107771</v>
      </c>
      <c r="H331" s="82">
        <v>87228</v>
      </c>
      <c r="I331" s="82">
        <v>25679</v>
      </c>
      <c r="J331" s="82">
        <v>13633</v>
      </c>
      <c r="K331" s="82">
        <v>12046</v>
      </c>
      <c r="L331" s="82">
        <v>153608</v>
      </c>
      <c r="M331" s="82">
        <v>88833</v>
      </c>
      <c r="N331" s="82">
        <v>64775</v>
      </c>
      <c r="O331" s="29">
        <f t="shared" si="25"/>
        <v>809</v>
      </c>
      <c r="P331" s="29">
        <f t="shared" si="26"/>
        <v>884</v>
      </c>
      <c r="Q331" s="30">
        <f t="shared" si="27"/>
        <v>90.72</v>
      </c>
      <c r="R331" s="30">
        <f t="shared" si="28"/>
        <v>94.36</v>
      </c>
      <c r="S331" s="30">
        <f t="shared" si="29"/>
        <v>86.16</v>
      </c>
    </row>
    <row r="332" spans="1:19" s="5" customFormat="1" ht="15.95" customHeight="1" x14ac:dyDescent="0.25">
      <c r="A332" s="61" t="s">
        <v>53</v>
      </c>
      <c r="B332" s="15" t="s">
        <v>172</v>
      </c>
      <c r="C332" s="83" t="s">
        <v>21</v>
      </c>
      <c r="D332" s="78" t="s">
        <v>184</v>
      </c>
      <c r="E332" s="36" t="s">
        <v>0</v>
      </c>
      <c r="F332" s="82">
        <v>180464</v>
      </c>
      <c r="G332" s="82">
        <v>93135</v>
      </c>
      <c r="H332" s="82">
        <v>87329</v>
      </c>
      <c r="I332" s="82">
        <v>17512</v>
      </c>
      <c r="J332" s="82">
        <v>9213</v>
      </c>
      <c r="K332" s="82">
        <v>8299</v>
      </c>
      <c r="L332" s="82">
        <v>153138</v>
      </c>
      <c r="M332" s="82">
        <v>80790</v>
      </c>
      <c r="N332" s="82">
        <v>72348</v>
      </c>
      <c r="O332" s="29">
        <f t="shared" si="25"/>
        <v>938</v>
      </c>
      <c r="P332" s="29">
        <f t="shared" si="26"/>
        <v>901</v>
      </c>
      <c r="Q332" s="30">
        <f t="shared" si="27"/>
        <v>93.98</v>
      </c>
      <c r="R332" s="30">
        <f t="shared" si="28"/>
        <v>96.27</v>
      </c>
      <c r="S332" s="30">
        <f t="shared" si="29"/>
        <v>91.54</v>
      </c>
    </row>
    <row r="333" spans="1:19" s="5" customFormat="1" ht="15.95" customHeight="1" x14ac:dyDescent="0.25">
      <c r="A333" s="61" t="s">
        <v>53</v>
      </c>
      <c r="B333" s="15" t="s">
        <v>172</v>
      </c>
      <c r="C333" s="80">
        <v>31</v>
      </c>
      <c r="D333" s="78" t="s">
        <v>183</v>
      </c>
      <c r="E333" s="27" t="s">
        <v>5</v>
      </c>
      <c r="F333" s="79">
        <v>149170</v>
      </c>
      <c r="G333" s="79">
        <v>75960</v>
      </c>
      <c r="H333" s="79">
        <v>73210</v>
      </c>
      <c r="I333" s="79">
        <v>14390</v>
      </c>
      <c r="J333" s="79">
        <v>7610</v>
      </c>
      <c r="K333" s="79">
        <v>6780</v>
      </c>
      <c r="L333" s="79">
        <v>125327</v>
      </c>
      <c r="M333" s="79">
        <v>65922</v>
      </c>
      <c r="N333" s="79">
        <v>59405</v>
      </c>
      <c r="O333" s="29">
        <f t="shared" si="25"/>
        <v>964</v>
      </c>
      <c r="P333" s="29">
        <f t="shared" si="26"/>
        <v>891</v>
      </c>
      <c r="Q333" s="30">
        <f t="shared" si="27"/>
        <v>92.99</v>
      </c>
      <c r="R333" s="30">
        <f t="shared" si="28"/>
        <v>96.45</v>
      </c>
      <c r="S333" s="30">
        <f t="shared" si="29"/>
        <v>89.42</v>
      </c>
    </row>
    <row r="334" spans="1:19" s="5" customFormat="1" ht="15.95" customHeight="1" x14ac:dyDescent="0.25">
      <c r="A334" s="61" t="s">
        <v>53</v>
      </c>
      <c r="B334" s="15" t="s">
        <v>172</v>
      </c>
      <c r="C334" s="83" t="s">
        <v>53</v>
      </c>
      <c r="D334" s="78" t="s">
        <v>182</v>
      </c>
      <c r="E334" s="36" t="s">
        <v>0</v>
      </c>
      <c r="F334" s="82">
        <v>146237</v>
      </c>
      <c r="G334" s="82">
        <v>75655</v>
      </c>
      <c r="H334" s="82">
        <v>70582</v>
      </c>
      <c r="I334" s="82">
        <v>19580</v>
      </c>
      <c r="J334" s="82">
        <v>10626</v>
      </c>
      <c r="K334" s="82">
        <v>8954</v>
      </c>
      <c r="L334" s="82">
        <v>112171</v>
      </c>
      <c r="M334" s="82">
        <v>61135</v>
      </c>
      <c r="N334" s="82">
        <v>51036</v>
      </c>
      <c r="O334" s="29">
        <f t="shared" si="25"/>
        <v>933</v>
      </c>
      <c r="P334" s="29">
        <f t="shared" si="26"/>
        <v>843</v>
      </c>
      <c r="Q334" s="30">
        <f t="shared" si="27"/>
        <v>88.56</v>
      </c>
      <c r="R334" s="30">
        <f t="shared" si="28"/>
        <v>94.01</v>
      </c>
      <c r="S334" s="30">
        <f t="shared" si="29"/>
        <v>82.81</v>
      </c>
    </row>
    <row r="335" spans="1:19" s="5" customFormat="1" ht="15.95" customHeight="1" x14ac:dyDescent="0.25">
      <c r="A335" s="61" t="s">
        <v>53</v>
      </c>
      <c r="B335" s="15" t="s">
        <v>172</v>
      </c>
      <c r="C335" s="80">
        <v>14</v>
      </c>
      <c r="D335" s="78" t="s">
        <v>181</v>
      </c>
      <c r="E335" s="27" t="s">
        <v>5</v>
      </c>
      <c r="F335" s="79">
        <v>138464</v>
      </c>
      <c r="G335" s="79">
        <v>69858</v>
      </c>
      <c r="H335" s="79">
        <v>68606</v>
      </c>
      <c r="I335" s="79">
        <v>12968</v>
      </c>
      <c r="J335" s="79">
        <v>6902</v>
      </c>
      <c r="K335" s="79">
        <v>6066</v>
      </c>
      <c r="L335" s="79">
        <v>115855</v>
      </c>
      <c r="M335" s="79">
        <v>60334</v>
      </c>
      <c r="N335" s="79">
        <v>55521</v>
      </c>
      <c r="O335" s="29">
        <f t="shared" si="25"/>
        <v>982</v>
      </c>
      <c r="P335" s="29">
        <f t="shared" si="26"/>
        <v>879</v>
      </c>
      <c r="Q335" s="30">
        <f t="shared" si="27"/>
        <v>92.32</v>
      </c>
      <c r="R335" s="30">
        <f t="shared" si="28"/>
        <v>95.84</v>
      </c>
      <c r="S335" s="30">
        <f t="shared" si="29"/>
        <v>88.78</v>
      </c>
    </row>
    <row r="336" spans="1:19" s="5" customFormat="1" ht="15.95" customHeight="1" x14ac:dyDescent="0.25">
      <c r="A336" s="61" t="s">
        <v>53</v>
      </c>
      <c r="B336" s="15" t="s">
        <v>172</v>
      </c>
      <c r="C336" s="81" t="s">
        <v>55</v>
      </c>
      <c r="D336" s="78" t="s">
        <v>180</v>
      </c>
      <c r="E336" s="27" t="s">
        <v>5</v>
      </c>
      <c r="F336" s="79">
        <v>136124</v>
      </c>
      <c r="G336" s="79">
        <v>70375</v>
      </c>
      <c r="H336" s="79">
        <v>65749</v>
      </c>
      <c r="I336" s="79">
        <v>14846</v>
      </c>
      <c r="J336" s="79">
        <v>7625</v>
      </c>
      <c r="K336" s="79">
        <v>7221</v>
      </c>
      <c r="L336" s="79">
        <v>109241</v>
      </c>
      <c r="M336" s="79">
        <v>59505</v>
      </c>
      <c r="N336" s="79">
        <v>49736</v>
      </c>
      <c r="O336" s="29">
        <f t="shared" si="25"/>
        <v>934</v>
      </c>
      <c r="P336" s="29">
        <f t="shared" si="26"/>
        <v>947</v>
      </c>
      <c r="Q336" s="30">
        <f t="shared" si="27"/>
        <v>90.07</v>
      </c>
      <c r="R336" s="30">
        <f t="shared" si="28"/>
        <v>94.83</v>
      </c>
      <c r="S336" s="30">
        <f t="shared" si="29"/>
        <v>84.98</v>
      </c>
    </row>
    <row r="337" spans="1:19" s="5" customFormat="1" ht="15.95" customHeight="1" x14ac:dyDescent="0.25">
      <c r="A337" s="61" t="s">
        <v>53</v>
      </c>
      <c r="B337" s="15" t="s">
        <v>172</v>
      </c>
      <c r="C337" s="83" t="s">
        <v>48</v>
      </c>
      <c r="D337" s="78" t="s">
        <v>179</v>
      </c>
      <c r="E337" s="36" t="s">
        <v>0</v>
      </c>
      <c r="F337" s="82">
        <v>132889</v>
      </c>
      <c r="G337" s="82">
        <v>66756</v>
      </c>
      <c r="H337" s="82">
        <v>66133</v>
      </c>
      <c r="I337" s="82">
        <v>12835</v>
      </c>
      <c r="J337" s="82">
        <v>6652</v>
      </c>
      <c r="K337" s="82">
        <v>6183</v>
      </c>
      <c r="L337" s="82">
        <v>112490</v>
      </c>
      <c r="M337" s="82">
        <v>58721</v>
      </c>
      <c r="N337" s="82">
        <v>53769</v>
      </c>
      <c r="O337" s="29">
        <f t="shared" si="25"/>
        <v>991</v>
      </c>
      <c r="P337" s="29">
        <f t="shared" si="26"/>
        <v>929</v>
      </c>
      <c r="Q337" s="30">
        <f t="shared" si="27"/>
        <v>93.7</v>
      </c>
      <c r="R337" s="30">
        <f t="shared" si="28"/>
        <v>97.7</v>
      </c>
      <c r="S337" s="30">
        <f t="shared" si="29"/>
        <v>89.69</v>
      </c>
    </row>
    <row r="338" spans="1:19" s="5" customFormat="1" ht="15.95" customHeight="1" x14ac:dyDescent="0.25">
      <c r="A338" s="61" t="s">
        <v>53</v>
      </c>
      <c r="B338" s="15" t="s">
        <v>172</v>
      </c>
      <c r="C338" s="83" t="s">
        <v>39</v>
      </c>
      <c r="D338" s="78" t="s">
        <v>178</v>
      </c>
      <c r="E338" s="36" t="s">
        <v>0</v>
      </c>
      <c r="F338" s="82">
        <v>118573</v>
      </c>
      <c r="G338" s="82">
        <v>60857</v>
      </c>
      <c r="H338" s="82">
        <v>57716</v>
      </c>
      <c r="I338" s="82">
        <v>13029</v>
      </c>
      <c r="J338" s="82">
        <v>7060</v>
      </c>
      <c r="K338" s="82">
        <v>5969</v>
      </c>
      <c r="L338" s="82">
        <v>91260</v>
      </c>
      <c r="M338" s="82">
        <v>49965</v>
      </c>
      <c r="N338" s="82">
        <v>41295</v>
      </c>
      <c r="O338" s="29">
        <f t="shared" si="25"/>
        <v>948</v>
      </c>
      <c r="P338" s="29">
        <f t="shared" si="26"/>
        <v>845</v>
      </c>
      <c r="Q338" s="30">
        <f t="shared" si="27"/>
        <v>86.47</v>
      </c>
      <c r="R338" s="30">
        <f t="shared" si="28"/>
        <v>92.88</v>
      </c>
      <c r="S338" s="30">
        <f t="shared" si="29"/>
        <v>79.8</v>
      </c>
    </row>
    <row r="339" spans="1:19" s="5" customFormat="1" ht="15.95" customHeight="1" x14ac:dyDescent="0.25">
      <c r="A339" s="61" t="s">
        <v>53</v>
      </c>
      <c r="B339" s="15" t="s">
        <v>172</v>
      </c>
      <c r="C339" s="83" t="s">
        <v>57</v>
      </c>
      <c r="D339" s="78" t="s">
        <v>177</v>
      </c>
      <c r="E339" s="36" t="s">
        <v>0</v>
      </c>
      <c r="F339" s="82">
        <v>112293</v>
      </c>
      <c r="G339" s="82">
        <v>58256</v>
      </c>
      <c r="H339" s="82">
        <v>54037</v>
      </c>
      <c r="I339" s="82">
        <v>11810</v>
      </c>
      <c r="J339" s="82">
        <v>6186</v>
      </c>
      <c r="K339" s="82">
        <v>5624</v>
      </c>
      <c r="L339" s="82">
        <v>92433</v>
      </c>
      <c r="M339" s="82">
        <v>49347</v>
      </c>
      <c r="N339" s="82">
        <v>43086</v>
      </c>
      <c r="O339" s="29">
        <f t="shared" si="25"/>
        <v>928</v>
      </c>
      <c r="P339" s="29">
        <f t="shared" si="26"/>
        <v>909</v>
      </c>
      <c r="Q339" s="30">
        <f t="shared" si="27"/>
        <v>91.99</v>
      </c>
      <c r="R339" s="30">
        <f t="shared" si="28"/>
        <v>94.77</v>
      </c>
      <c r="S339" s="30">
        <f t="shared" si="29"/>
        <v>89</v>
      </c>
    </row>
    <row r="340" spans="1:19" s="5" customFormat="1" ht="15.95" customHeight="1" x14ac:dyDescent="0.25">
      <c r="A340" s="61" t="s">
        <v>53</v>
      </c>
      <c r="B340" s="15" t="s">
        <v>172</v>
      </c>
      <c r="C340" s="83" t="s">
        <v>93</v>
      </c>
      <c r="D340" s="78" t="s">
        <v>176</v>
      </c>
      <c r="E340" s="36" t="s">
        <v>0</v>
      </c>
      <c r="F340" s="82">
        <v>112085</v>
      </c>
      <c r="G340" s="82">
        <v>58098</v>
      </c>
      <c r="H340" s="82">
        <v>53987</v>
      </c>
      <c r="I340" s="82">
        <v>13346</v>
      </c>
      <c r="J340" s="82">
        <v>7184</v>
      </c>
      <c r="K340" s="82">
        <v>6162</v>
      </c>
      <c r="L340" s="82">
        <v>87041</v>
      </c>
      <c r="M340" s="82">
        <v>47577</v>
      </c>
      <c r="N340" s="82">
        <v>39464</v>
      </c>
      <c r="O340" s="29">
        <f t="shared" si="25"/>
        <v>929</v>
      </c>
      <c r="P340" s="29">
        <f t="shared" si="26"/>
        <v>858</v>
      </c>
      <c r="Q340" s="30">
        <f t="shared" si="27"/>
        <v>88.15</v>
      </c>
      <c r="R340" s="30">
        <f t="shared" si="28"/>
        <v>93.45</v>
      </c>
      <c r="S340" s="30">
        <f t="shared" si="29"/>
        <v>82.52</v>
      </c>
    </row>
    <row r="341" spans="1:19" s="5" customFormat="1" ht="15.95" customHeight="1" x14ac:dyDescent="0.25">
      <c r="A341" s="61" t="s">
        <v>53</v>
      </c>
      <c r="B341" s="15" t="s">
        <v>172</v>
      </c>
      <c r="C341" s="83" t="s">
        <v>71</v>
      </c>
      <c r="D341" s="78" t="s">
        <v>175</v>
      </c>
      <c r="E341" s="36" t="s">
        <v>0</v>
      </c>
      <c r="F341" s="82">
        <v>111067</v>
      </c>
      <c r="G341" s="82">
        <v>57543</v>
      </c>
      <c r="H341" s="82">
        <v>53524</v>
      </c>
      <c r="I341" s="82">
        <v>12621</v>
      </c>
      <c r="J341" s="82">
        <v>6868</v>
      </c>
      <c r="K341" s="82">
        <v>5753</v>
      </c>
      <c r="L341" s="82">
        <v>85635</v>
      </c>
      <c r="M341" s="82">
        <v>46673</v>
      </c>
      <c r="N341" s="82">
        <v>38962</v>
      </c>
      <c r="O341" s="29">
        <f t="shared" si="25"/>
        <v>930</v>
      </c>
      <c r="P341" s="29">
        <f t="shared" si="26"/>
        <v>838</v>
      </c>
      <c r="Q341" s="30">
        <f t="shared" si="27"/>
        <v>86.99</v>
      </c>
      <c r="R341" s="30">
        <f t="shared" si="28"/>
        <v>92.1</v>
      </c>
      <c r="S341" s="30">
        <f t="shared" si="29"/>
        <v>81.56</v>
      </c>
    </row>
    <row r="342" spans="1:19" s="5" customFormat="1" ht="15.95" customHeight="1" x14ac:dyDescent="0.25">
      <c r="A342" s="61" t="s">
        <v>53</v>
      </c>
      <c r="B342" s="15" t="s">
        <v>172</v>
      </c>
      <c r="C342" s="83" t="s">
        <v>34</v>
      </c>
      <c r="D342" s="78" t="s">
        <v>174</v>
      </c>
      <c r="E342" s="36" t="s">
        <v>0</v>
      </c>
      <c r="F342" s="82">
        <v>105543</v>
      </c>
      <c r="G342" s="82">
        <v>53241</v>
      </c>
      <c r="H342" s="82">
        <v>52302</v>
      </c>
      <c r="I342" s="82">
        <v>9754</v>
      </c>
      <c r="J342" s="82">
        <v>5139</v>
      </c>
      <c r="K342" s="82">
        <v>4615</v>
      </c>
      <c r="L342" s="82">
        <v>90091</v>
      </c>
      <c r="M342" s="82">
        <v>46752</v>
      </c>
      <c r="N342" s="82">
        <v>43339</v>
      </c>
      <c r="O342" s="29">
        <f t="shared" si="25"/>
        <v>982</v>
      </c>
      <c r="P342" s="29">
        <f t="shared" si="26"/>
        <v>898</v>
      </c>
      <c r="Q342" s="30">
        <f t="shared" si="27"/>
        <v>94.05</v>
      </c>
      <c r="R342" s="30">
        <f t="shared" si="28"/>
        <v>97.19</v>
      </c>
      <c r="S342" s="30">
        <f t="shared" si="29"/>
        <v>90.88</v>
      </c>
    </row>
    <row r="343" spans="1:19" s="5" customFormat="1" ht="15.95" customHeight="1" x14ac:dyDescent="0.25">
      <c r="A343" s="61" t="s">
        <v>53</v>
      </c>
      <c r="B343" s="15" t="s">
        <v>172</v>
      </c>
      <c r="C343" s="83" t="s">
        <v>37</v>
      </c>
      <c r="D343" s="78" t="s">
        <v>173</v>
      </c>
      <c r="E343" s="36" t="s">
        <v>0</v>
      </c>
      <c r="F343" s="82">
        <v>104063</v>
      </c>
      <c r="G343" s="82">
        <v>54445</v>
      </c>
      <c r="H343" s="82">
        <v>49618</v>
      </c>
      <c r="I343" s="82">
        <v>13075</v>
      </c>
      <c r="J343" s="82">
        <v>6933</v>
      </c>
      <c r="K343" s="82">
        <v>6142</v>
      </c>
      <c r="L343" s="82">
        <v>78051</v>
      </c>
      <c r="M343" s="82">
        <v>43518</v>
      </c>
      <c r="N343" s="82">
        <v>34533</v>
      </c>
      <c r="O343" s="29">
        <f t="shared" si="25"/>
        <v>911</v>
      </c>
      <c r="P343" s="29">
        <f t="shared" si="26"/>
        <v>886</v>
      </c>
      <c r="Q343" s="30">
        <f t="shared" si="27"/>
        <v>85.78</v>
      </c>
      <c r="R343" s="30">
        <f t="shared" si="28"/>
        <v>91.59</v>
      </c>
      <c r="S343" s="30">
        <f t="shared" si="29"/>
        <v>79.430000000000007</v>
      </c>
    </row>
    <row r="344" spans="1:19" s="5" customFormat="1" ht="15.95" customHeight="1" x14ac:dyDescent="0.25">
      <c r="A344" s="61" t="s">
        <v>53</v>
      </c>
      <c r="B344" s="15" t="s">
        <v>172</v>
      </c>
      <c r="C344" s="83" t="s">
        <v>34</v>
      </c>
      <c r="D344" s="78" t="s">
        <v>171</v>
      </c>
      <c r="E344" s="36" t="s">
        <v>0</v>
      </c>
      <c r="F344" s="82">
        <v>100416</v>
      </c>
      <c r="G344" s="82">
        <v>51881</v>
      </c>
      <c r="H344" s="82">
        <v>48535</v>
      </c>
      <c r="I344" s="82">
        <v>9681</v>
      </c>
      <c r="J344" s="82">
        <v>5175</v>
      </c>
      <c r="K344" s="82">
        <v>4506</v>
      </c>
      <c r="L344" s="82">
        <v>85599</v>
      </c>
      <c r="M344" s="82">
        <v>45728</v>
      </c>
      <c r="N344" s="82">
        <v>39871</v>
      </c>
      <c r="O344" s="29">
        <f t="shared" si="25"/>
        <v>936</v>
      </c>
      <c r="P344" s="29">
        <f t="shared" si="26"/>
        <v>871</v>
      </c>
      <c r="Q344" s="30">
        <f t="shared" si="27"/>
        <v>94.34</v>
      </c>
      <c r="R344" s="30">
        <f t="shared" si="28"/>
        <v>97.91</v>
      </c>
      <c r="S344" s="30">
        <f t="shared" si="29"/>
        <v>90.56</v>
      </c>
    </row>
    <row r="345" spans="1:19" s="5" customFormat="1" ht="15.95" customHeight="1" x14ac:dyDescent="0.25">
      <c r="A345" s="61" t="s">
        <v>37</v>
      </c>
      <c r="B345" s="15" t="s">
        <v>125</v>
      </c>
      <c r="C345" s="40">
        <v>99</v>
      </c>
      <c r="D345" s="46" t="s">
        <v>170</v>
      </c>
      <c r="E345" s="27" t="s">
        <v>5</v>
      </c>
      <c r="F345" s="33">
        <v>7749334</v>
      </c>
      <c r="G345" s="33">
        <v>3985240</v>
      </c>
      <c r="H345" s="33">
        <v>3764094</v>
      </c>
      <c r="I345" s="33">
        <v>831435</v>
      </c>
      <c r="J345" s="33">
        <v>427973</v>
      </c>
      <c r="K345" s="33">
        <v>403462</v>
      </c>
      <c r="L345" s="33">
        <v>5736575</v>
      </c>
      <c r="M345" s="33">
        <v>3064389</v>
      </c>
      <c r="N345" s="33">
        <v>2672186</v>
      </c>
      <c r="O345" s="29">
        <f t="shared" si="25"/>
        <v>945</v>
      </c>
      <c r="P345" s="29">
        <f t="shared" si="26"/>
        <v>943</v>
      </c>
      <c r="Q345" s="30">
        <f t="shared" si="27"/>
        <v>82.92</v>
      </c>
      <c r="R345" s="30">
        <f t="shared" si="28"/>
        <v>86.14</v>
      </c>
      <c r="S345" s="30">
        <f t="shared" si="29"/>
        <v>79.510000000000005</v>
      </c>
    </row>
    <row r="346" spans="1:19" s="5" customFormat="1" ht="15.95" customHeight="1" x14ac:dyDescent="0.25">
      <c r="A346" s="61" t="s">
        <v>37</v>
      </c>
      <c r="B346" s="15" t="s">
        <v>125</v>
      </c>
      <c r="C346" s="60">
        <v>13</v>
      </c>
      <c r="D346" s="84" t="s">
        <v>169</v>
      </c>
      <c r="E346" s="36" t="s">
        <v>0</v>
      </c>
      <c r="F346" s="33">
        <v>1730320</v>
      </c>
      <c r="G346" s="33">
        <v>875199</v>
      </c>
      <c r="H346" s="33">
        <v>855121</v>
      </c>
      <c r="I346" s="33">
        <v>158924</v>
      </c>
      <c r="J346" s="33">
        <v>81119</v>
      </c>
      <c r="K346" s="33">
        <v>77805</v>
      </c>
      <c r="L346" s="33">
        <v>1298896</v>
      </c>
      <c r="M346" s="33">
        <v>698959</v>
      </c>
      <c r="N346" s="33">
        <v>599937</v>
      </c>
      <c r="O346" s="29">
        <f t="shared" si="25"/>
        <v>977</v>
      </c>
      <c r="P346" s="29">
        <f t="shared" si="26"/>
        <v>959</v>
      </c>
      <c r="Q346" s="30">
        <f t="shared" si="27"/>
        <v>82.66</v>
      </c>
      <c r="R346" s="30">
        <f t="shared" si="28"/>
        <v>88.02</v>
      </c>
      <c r="S346" s="30">
        <f t="shared" si="29"/>
        <v>77.180000000000007</v>
      </c>
    </row>
    <row r="347" spans="1:19" s="5" customFormat="1" ht="15.95" customHeight="1" x14ac:dyDescent="0.25">
      <c r="A347" s="61" t="s">
        <v>37</v>
      </c>
      <c r="B347" s="15" t="s">
        <v>125</v>
      </c>
      <c r="C347" s="40">
        <v>99</v>
      </c>
      <c r="D347" s="46" t="s">
        <v>168</v>
      </c>
      <c r="E347" s="27" t="s">
        <v>5</v>
      </c>
      <c r="F347" s="33">
        <v>1491202</v>
      </c>
      <c r="G347" s="33">
        <v>750770</v>
      </c>
      <c r="H347" s="33">
        <v>740432</v>
      </c>
      <c r="I347" s="33">
        <v>133396</v>
      </c>
      <c r="J347" s="33">
        <v>68180</v>
      </c>
      <c r="K347" s="33">
        <v>65216</v>
      </c>
      <c r="L347" s="33">
        <v>1107903</v>
      </c>
      <c r="M347" s="33">
        <v>584005</v>
      </c>
      <c r="N347" s="33">
        <v>523898</v>
      </c>
      <c r="O347" s="29">
        <f t="shared" si="25"/>
        <v>986</v>
      </c>
      <c r="P347" s="29">
        <f t="shared" si="26"/>
        <v>957</v>
      </c>
      <c r="Q347" s="30">
        <f t="shared" si="27"/>
        <v>81.599999999999994</v>
      </c>
      <c r="R347" s="30">
        <f t="shared" si="28"/>
        <v>85.56</v>
      </c>
      <c r="S347" s="30">
        <f t="shared" si="29"/>
        <v>77.59</v>
      </c>
    </row>
    <row r="348" spans="1:19" s="5" customFormat="1" ht="15.95" customHeight="1" x14ac:dyDescent="0.25">
      <c r="A348" s="61" t="s">
        <v>37</v>
      </c>
      <c r="B348" s="15" t="s">
        <v>125</v>
      </c>
      <c r="C348" s="60" t="s">
        <v>55</v>
      </c>
      <c r="D348" s="32" t="s">
        <v>167</v>
      </c>
      <c r="E348" s="27" t="s">
        <v>5</v>
      </c>
      <c r="F348" s="33">
        <v>759594</v>
      </c>
      <c r="G348" s="33">
        <v>380833</v>
      </c>
      <c r="H348" s="33">
        <v>378761</v>
      </c>
      <c r="I348" s="33">
        <v>67732</v>
      </c>
      <c r="J348" s="33">
        <v>34812</v>
      </c>
      <c r="K348" s="33">
        <v>32920</v>
      </c>
      <c r="L348" s="33">
        <v>571229</v>
      </c>
      <c r="M348" s="33">
        <v>312338</v>
      </c>
      <c r="N348" s="33">
        <v>258891</v>
      </c>
      <c r="O348" s="29">
        <f t="shared" si="25"/>
        <v>995</v>
      </c>
      <c r="P348" s="29">
        <f t="shared" si="26"/>
        <v>946</v>
      </c>
      <c r="Q348" s="30">
        <f t="shared" si="27"/>
        <v>82.56</v>
      </c>
      <c r="R348" s="30">
        <f t="shared" si="28"/>
        <v>90.27</v>
      </c>
      <c r="S348" s="30">
        <f t="shared" si="29"/>
        <v>74.86</v>
      </c>
    </row>
    <row r="349" spans="1:19" s="5" customFormat="1" ht="15.95" customHeight="1" x14ac:dyDescent="0.25">
      <c r="A349" s="61" t="s">
        <v>37</v>
      </c>
      <c r="B349" s="15" t="s">
        <v>125</v>
      </c>
      <c r="C349" s="60">
        <v>17</v>
      </c>
      <c r="D349" s="32" t="s">
        <v>166</v>
      </c>
      <c r="E349" s="27" t="s">
        <v>5</v>
      </c>
      <c r="F349" s="33">
        <v>673952</v>
      </c>
      <c r="G349" s="33">
        <v>333894</v>
      </c>
      <c r="H349" s="33">
        <v>340058</v>
      </c>
      <c r="I349" s="33">
        <v>61560</v>
      </c>
      <c r="J349" s="33">
        <v>31396</v>
      </c>
      <c r="K349" s="33">
        <v>30164</v>
      </c>
      <c r="L349" s="33">
        <v>494287</v>
      </c>
      <c r="M349" s="33">
        <v>259893</v>
      </c>
      <c r="N349" s="33">
        <v>234394</v>
      </c>
      <c r="O349" s="29">
        <f t="shared" si="25"/>
        <v>1018</v>
      </c>
      <c r="P349" s="29">
        <f t="shared" si="26"/>
        <v>961</v>
      </c>
      <c r="Q349" s="30">
        <f t="shared" si="27"/>
        <v>80.709999999999994</v>
      </c>
      <c r="R349" s="30">
        <f t="shared" si="28"/>
        <v>85.92</v>
      </c>
      <c r="S349" s="30">
        <f t="shared" si="29"/>
        <v>75.64</v>
      </c>
    </row>
    <row r="350" spans="1:19" s="5" customFormat="1" ht="15.95" customHeight="1" x14ac:dyDescent="0.25">
      <c r="A350" s="61" t="s">
        <v>37</v>
      </c>
      <c r="B350" s="15" t="s">
        <v>125</v>
      </c>
      <c r="C350" s="60">
        <v>19</v>
      </c>
      <c r="D350" s="32" t="s">
        <v>165</v>
      </c>
      <c r="E350" s="27" t="s">
        <v>5</v>
      </c>
      <c r="F350" s="33">
        <v>564148</v>
      </c>
      <c r="G350" s="33">
        <v>286070</v>
      </c>
      <c r="H350" s="33">
        <v>278078</v>
      </c>
      <c r="I350" s="33">
        <v>48393</v>
      </c>
      <c r="J350" s="33">
        <v>24802</v>
      </c>
      <c r="K350" s="33">
        <v>23591</v>
      </c>
      <c r="L350" s="33">
        <v>425632</v>
      </c>
      <c r="M350" s="33">
        <v>226196</v>
      </c>
      <c r="N350" s="33">
        <v>199436</v>
      </c>
      <c r="O350" s="29">
        <f t="shared" si="25"/>
        <v>972</v>
      </c>
      <c r="P350" s="29">
        <f t="shared" si="26"/>
        <v>951</v>
      </c>
      <c r="Q350" s="30">
        <f t="shared" si="27"/>
        <v>82.53</v>
      </c>
      <c r="R350" s="30">
        <f t="shared" si="28"/>
        <v>86.58</v>
      </c>
      <c r="S350" s="30">
        <f t="shared" si="29"/>
        <v>78.37</v>
      </c>
    </row>
    <row r="351" spans="1:19" s="5" customFormat="1" ht="15.95" customHeight="1" x14ac:dyDescent="0.25">
      <c r="A351" s="61" t="s">
        <v>37</v>
      </c>
      <c r="B351" s="15" t="s">
        <v>125</v>
      </c>
      <c r="C351" s="60">
        <v>14</v>
      </c>
      <c r="D351" s="32" t="s">
        <v>164</v>
      </c>
      <c r="E351" s="27" t="s">
        <v>5</v>
      </c>
      <c r="F351" s="33">
        <v>478199</v>
      </c>
      <c r="G351" s="33">
        <v>236489</v>
      </c>
      <c r="H351" s="33">
        <v>241710</v>
      </c>
      <c r="I351" s="33">
        <v>42968</v>
      </c>
      <c r="J351" s="33">
        <v>21709</v>
      </c>
      <c r="K351" s="33">
        <v>21259</v>
      </c>
      <c r="L351" s="33">
        <v>359051</v>
      </c>
      <c r="M351" s="33">
        <v>185660</v>
      </c>
      <c r="N351" s="33">
        <v>173391</v>
      </c>
      <c r="O351" s="29">
        <f t="shared" si="25"/>
        <v>1022</v>
      </c>
      <c r="P351" s="29">
        <f t="shared" si="26"/>
        <v>979</v>
      </c>
      <c r="Q351" s="30">
        <f t="shared" si="27"/>
        <v>82.5</v>
      </c>
      <c r="R351" s="30">
        <f t="shared" si="28"/>
        <v>86.44</v>
      </c>
      <c r="S351" s="30">
        <f t="shared" si="29"/>
        <v>78.650000000000006</v>
      </c>
    </row>
    <row r="352" spans="1:19" s="5" customFormat="1" ht="15.95" customHeight="1" x14ac:dyDescent="0.25">
      <c r="A352" s="61" t="s">
        <v>37</v>
      </c>
      <c r="B352" s="15" t="s">
        <v>125</v>
      </c>
      <c r="C352" s="60">
        <v>21</v>
      </c>
      <c r="D352" s="46" t="s">
        <v>163</v>
      </c>
      <c r="E352" s="27" t="s">
        <v>5</v>
      </c>
      <c r="F352" s="33">
        <v>478124</v>
      </c>
      <c r="G352" s="33">
        <v>239401</v>
      </c>
      <c r="H352" s="33">
        <v>238723</v>
      </c>
      <c r="I352" s="33">
        <v>50240</v>
      </c>
      <c r="J352" s="33">
        <v>25977</v>
      </c>
      <c r="K352" s="33">
        <v>24263</v>
      </c>
      <c r="L352" s="33">
        <v>331039</v>
      </c>
      <c r="M352" s="33">
        <v>177841</v>
      </c>
      <c r="N352" s="33">
        <v>153198</v>
      </c>
      <c r="O352" s="29">
        <f t="shared" si="25"/>
        <v>997</v>
      </c>
      <c r="P352" s="29">
        <f t="shared" si="26"/>
        <v>934</v>
      </c>
      <c r="Q352" s="30">
        <f t="shared" si="27"/>
        <v>77.37</v>
      </c>
      <c r="R352" s="30">
        <f t="shared" si="28"/>
        <v>83.33</v>
      </c>
      <c r="S352" s="30">
        <f t="shared" si="29"/>
        <v>71.430000000000007</v>
      </c>
    </row>
    <row r="353" spans="1:19" s="5" customFormat="1" ht="15.95" customHeight="1" x14ac:dyDescent="0.25">
      <c r="A353" s="61" t="s">
        <v>37</v>
      </c>
      <c r="B353" s="15" t="s">
        <v>125</v>
      </c>
      <c r="C353" s="60">
        <v>23</v>
      </c>
      <c r="D353" s="46" t="s">
        <v>162</v>
      </c>
      <c r="E353" s="27" t="s">
        <v>5</v>
      </c>
      <c r="F353" s="33">
        <v>459985</v>
      </c>
      <c r="G353" s="33">
        <v>231456</v>
      </c>
      <c r="H353" s="33">
        <v>228529</v>
      </c>
      <c r="I353" s="33">
        <v>41589</v>
      </c>
      <c r="J353" s="33">
        <v>21645</v>
      </c>
      <c r="K353" s="33">
        <v>19944</v>
      </c>
      <c r="L353" s="33">
        <v>356558</v>
      </c>
      <c r="M353" s="33">
        <v>190414</v>
      </c>
      <c r="N353" s="33">
        <v>166144</v>
      </c>
      <c r="O353" s="29">
        <f t="shared" si="25"/>
        <v>987</v>
      </c>
      <c r="P353" s="29">
        <f t="shared" si="26"/>
        <v>921</v>
      </c>
      <c r="Q353" s="30">
        <f t="shared" si="27"/>
        <v>85.22</v>
      </c>
      <c r="R353" s="30">
        <f t="shared" si="28"/>
        <v>90.76</v>
      </c>
      <c r="S353" s="30">
        <f t="shared" si="29"/>
        <v>79.650000000000006</v>
      </c>
    </row>
    <row r="354" spans="1:19" s="5" customFormat="1" ht="15.95" customHeight="1" x14ac:dyDescent="0.25">
      <c r="A354" s="61" t="s">
        <v>37</v>
      </c>
      <c r="B354" s="15" t="s">
        <v>125</v>
      </c>
      <c r="C354" s="60">
        <v>14</v>
      </c>
      <c r="D354" s="32" t="s">
        <v>161</v>
      </c>
      <c r="E354" s="27" t="s">
        <v>5</v>
      </c>
      <c r="F354" s="33">
        <v>442936</v>
      </c>
      <c r="G354" s="33">
        <v>217573</v>
      </c>
      <c r="H354" s="33">
        <v>225363</v>
      </c>
      <c r="I354" s="33">
        <v>39464</v>
      </c>
      <c r="J354" s="33">
        <v>19972</v>
      </c>
      <c r="K354" s="33">
        <v>19492</v>
      </c>
      <c r="L354" s="33">
        <v>329207</v>
      </c>
      <c r="M354" s="33">
        <v>168326</v>
      </c>
      <c r="N354" s="33">
        <v>160881</v>
      </c>
      <c r="O354" s="29">
        <f t="shared" si="25"/>
        <v>1036</v>
      </c>
      <c r="P354" s="29">
        <f t="shared" si="26"/>
        <v>976</v>
      </c>
      <c r="Q354" s="30">
        <f t="shared" si="27"/>
        <v>81.59</v>
      </c>
      <c r="R354" s="30">
        <f t="shared" si="28"/>
        <v>85.18</v>
      </c>
      <c r="S354" s="30">
        <f t="shared" si="29"/>
        <v>78.150000000000006</v>
      </c>
    </row>
    <row r="355" spans="1:19" s="5" customFormat="1" ht="15.95" customHeight="1" x14ac:dyDescent="0.25">
      <c r="A355" s="61" t="s">
        <v>37</v>
      </c>
      <c r="B355" s="15" t="s">
        <v>125</v>
      </c>
      <c r="C355" s="60">
        <v>20</v>
      </c>
      <c r="D355" s="46" t="s">
        <v>160</v>
      </c>
      <c r="E355" s="27" t="s">
        <v>5</v>
      </c>
      <c r="F355" s="33">
        <v>344078</v>
      </c>
      <c r="G355" s="33">
        <v>172969</v>
      </c>
      <c r="H355" s="33">
        <v>171109</v>
      </c>
      <c r="I355" s="33">
        <v>36543</v>
      </c>
      <c r="J355" s="33">
        <v>19001</v>
      </c>
      <c r="K355" s="33">
        <v>17542</v>
      </c>
      <c r="L355" s="33">
        <v>244011</v>
      </c>
      <c r="M355" s="33">
        <v>132721</v>
      </c>
      <c r="N355" s="33">
        <v>111290</v>
      </c>
      <c r="O355" s="29">
        <f t="shared" si="25"/>
        <v>989</v>
      </c>
      <c r="P355" s="29">
        <f t="shared" si="26"/>
        <v>923</v>
      </c>
      <c r="Q355" s="30">
        <f t="shared" si="27"/>
        <v>79.34</v>
      </c>
      <c r="R355" s="30">
        <f t="shared" si="28"/>
        <v>86.2</v>
      </c>
      <c r="S355" s="30">
        <f t="shared" si="29"/>
        <v>72.47</v>
      </c>
    </row>
    <row r="356" spans="1:19" s="5" customFormat="1" ht="15.95" customHeight="1" x14ac:dyDescent="0.25">
      <c r="A356" s="61" t="s">
        <v>37</v>
      </c>
      <c r="B356" s="15" t="s">
        <v>125</v>
      </c>
      <c r="C356" s="60">
        <v>22</v>
      </c>
      <c r="D356" s="46" t="s">
        <v>159</v>
      </c>
      <c r="E356" s="27" t="s">
        <v>5</v>
      </c>
      <c r="F356" s="33">
        <v>341895</v>
      </c>
      <c r="G356" s="33">
        <v>172414</v>
      </c>
      <c r="H356" s="33">
        <v>169481</v>
      </c>
      <c r="I356" s="33">
        <v>32199</v>
      </c>
      <c r="J356" s="33">
        <v>16967</v>
      </c>
      <c r="K356" s="33">
        <v>15232</v>
      </c>
      <c r="L356" s="33">
        <v>246757</v>
      </c>
      <c r="M356" s="33">
        <v>134843</v>
      </c>
      <c r="N356" s="33">
        <v>111914</v>
      </c>
      <c r="O356" s="29">
        <f t="shared" si="25"/>
        <v>983</v>
      </c>
      <c r="P356" s="29">
        <f t="shared" si="26"/>
        <v>898</v>
      </c>
      <c r="Q356" s="30">
        <f t="shared" si="27"/>
        <v>79.680000000000007</v>
      </c>
      <c r="R356" s="30">
        <f t="shared" si="28"/>
        <v>86.75</v>
      </c>
      <c r="S356" s="30">
        <f t="shared" si="29"/>
        <v>72.55</v>
      </c>
    </row>
    <row r="357" spans="1:19" s="5" customFormat="1" ht="15.95" customHeight="1" x14ac:dyDescent="0.25">
      <c r="A357" s="61" t="s">
        <v>37</v>
      </c>
      <c r="B357" s="15" t="s">
        <v>125</v>
      </c>
      <c r="C357" s="60" t="s">
        <v>7</v>
      </c>
      <c r="D357" s="46" t="s">
        <v>158</v>
      </c>
      <c r="E357" s="36" t="s">
        <v>0</v>
      </c>
      <c r="F357" s="33">
        <v>310467</v>
      </c>
      <c r="G357" s="33">
        <v>155163</v>
      </c>
      <c r="H357" s="33">
        <v>155304</v>
      </c>
      <c r="I357" s="33">
        <v>34256</v>
      </c>
      <c r="J357" s="33">
        <v>17408</v>
      </c>
      <c r="K357" s="33">
        <v>16848</v>
      </c>
      <c r="L357" s="33">
        <v>221829</v>
      </c>
      <c r="M357" s="33">
        <v>119603</v>
      </c>
      <c r="N357" s="33">
        <v>102226</v>
      </c>
      <c r="O357" s="29">
        <f t="shared" si="25"/>
        <v>1001</v>
      </c>
      <c r="P357" s="29">
        <f t="shared" si="26"/>
        <v>968</v>
      </c>
      <c r="Q357" s="30">
        <f t="shared" si="27"/>
        <v>80.31</v>
      </c>
      <c r="R357" s="30">
        <f t="shared" si="28"/>
        <v>86.82</v>
      </c>
      <c r="S357" s="30">
        <f t="shared" si="29"/>
        <v>73.83</v>
      </c>
    </row>
    <row r="358" spans="1:19" s="5" customFormat="1" ht="15.95" customHeight="1" x14ac:dyDescent="0.25">
      <c r="A358" s="61" t="s">
        <v>37</v>
      </c>
      <c r="B358" s="15" t="s">
        <v>125</v>
      </c>
      <c r="C358" s="60" t="s">
        <v>2</v>
      </c>
      <c r="D358" s="32" t="s">
        <v>157</v>
      </c>
      <c r="E358" s="27" t="s">
        <v>5</v>
      </c>
      <c r="F358" s="33">
        <v>299660</v>
      </c>
      <c r="G358" s="33">
        <v>151306</v>
      </c>
      <c r="H358" s="33">
        <v>148354</v>
      </c>
      <c r="I358" s="33">
        <v>28954</v>
      </c>
      <c r="J358" s="33">
        <v>14879</v>
      </c>
      <c r="K358" s="33">
        <v>14075</v>
      </c>
      <c r="L358" s="33">
        <v>229903</v>
      </c>
      <c r="M358" s="33">
        <v>124236</v>
      </c>
      <c r="N358" s="33">
        <v>105667</v>
      </c>
      <c r="O358" s="29">
        <f t="shared" si="25"/>
        <v>980</v>
      </c>
      <c r="P358" s="29">
        <f t="shared" si="26"/>
        <v>946</v>
      </c>
      <c r="Q358" s="30">
        <f t="shared" si="27"/>
        <v>84.93</v>
      </c>
      <c r="R358" s="30">
        <f t="shared" si="28"/>
        <v>91.06</v>
      </c>
      <c r="S358" s="30">
        <f t="shared" si="29"/>
        <v>78.69</v>
      </c>
    </row>
    <row r="359" spans="1:19" s="5" customFormat="1" ht="15.95" customHeight="1" x14ac:dyDescent="0.25">
      <c r="A359" s="61" t="s">
        <v>37</v>
      </c>
      <c r="B359" s="15" t="s">
        <v>125</v>
      </c>
      <c r="C359" s="60">
        <v>10</v>
      </c>
      <c r="D359" s="32" t="s">
        <v>156</v>
      </c>
      <c r="E359" s="27" t="s">
        <v>5</v>
      </c>
      <c r="F359" s="33">
        <v>262309</v>
      </c>
      <c r="G359" s="33">
        <v>129937</v>
      </c>
      <c r="H359" s="33">
        <v>132372</v>
      </c>
      <c r="I359" s="33">
        <v>24419</v>
      </c>
      <c r="J359" s="33">
        <v>12655</v>
      </c>
      <c r="K359" s="33">
        <v>11764</v>
      </c>
      <c r="L359" s="33">
        <v>196478</v>
      </c>
      <c r="M359" s="33">
        <v>103140</v>
      </c>
      <c r="N359" s="33">
        <v>93338</v>
      </c>
      <c r="O359" s="29">
        <f t="shared" si="25"/>
        <v>1019</v>
      </c>
      <c r="P359" s="29">
        <f t="shared" si="26"/>
        <v>930</v>
      </c>
      <c r="Q359" s="30">
        <f t="shared" si="27"/>
        <v>82.59</v>
      </c>
      <c r="R359" s="30">
        <f t="shared" si="28"/>
        <v>87.94</v>
      </c>
      <c r="S359" s="30">
        <f t="shared" si="29"/>
        <v>77.39</v>
      </c>
    </row>
    <row r="360" spans="1:19" s="5" customFormat="1" ht="15.95" customHeight="1" x14ac:dyDescent="0.25">
      <c r="A360" s="61" t="s">
        <v>37</v>
      </c>
      <c r="B360" s="15" t="s">
        <v>125</v>
      </c>
      <c r="C360" s="60" t="s">
        <v>2</v>
      </c>
      <c r="D360" s="32" t="s">
        <v>155</v>
      </c>
      <c r="E360" s="27" t="s">
        <v>5</v>
      </c>
      <c r="F360" s="33">
        <v>252261</v>
      </c>
      <c r="G360" s="33">
        <v>128347</v>
      </c>
      <c r="H360" s="33">
        <v>123914</v>
      </c>
      <c r="I360" s="33">
        <v>18643</v>
      </c>
      <c r="J360" s="33">
        <v>9789</v>
      </c>
      <c r="K360" s="33">
        <v>8854</v>
      </c>
      <c r="L360" s="33">
        <v>174893</v>
      </c>
      <c r="M360" s="33">
        <v>97804</v>
      </c>
      <c r="N360" s="33">
        <v>77089</v>
      </c>
      <c r="O360" s="29">
        <f t="shared" si="25"/>
        <v>965</v>
      </c>
      <c r="P360" s="29">
        <f t="shared" si="26"/>
        <v>904</v>
      </c>
      <c r="Q360" s="30">
        <f t="shared" si="27"/>
        <v>74.86</v>
      </c>
      <c r="R360" s="30">
        <f t="shared" si="28"/>
        <v>82.49</v>
      </c>
      <c r="S360" s="30">
        <f t="shared" si="29"/>
        <v>67</v>
      </c>
    </row>
    <row r="361" spans="1:19" s="5" customFormat="1" ht="15.95" customHeight="1" x14ac:dyDescent="0.25">
      <c r="A361" s="61" t="s">
        <v>37</v>
      </c>
      <c r="B361" s="15" t="s">
        <v>125</v>
      </c>
      <c r="C361" s="60">
        <v>15</v>
      </c>
      <c r="D361" s="32" t="s">
        <v>154</v>
      </c>
      <c r="E361" s="27" t="s">
        <v>5</v>
      </c>
      <c r="F361" s="33">
        <v>250693</v>
      </c>
      <c r="G361" s="33">
        <v>123747</v>
      </c>
      <c r="H361" s="33">
        <v>126946</v>
      </c>
      <c r="I361" s="33">
        <v>21318</v>
      </c>
      <c r="J361" s="33">
        <v>10670</v>
      </c>
      <c r="K361" s="33">
        <v>10648</v>
      </c>
      <c r="L361" s="33">
        <v>174273</v>
      </c>
      <c r="M361" s="33">
        <v>89357</v>
      </c>
      <c r="N361" s="33">
        <v>84916</v>
      </c>
      <c r="O361" s="29">
        <f t="shared" si="25"/>
        <v>1026</v>
      </c>
      <c r="P361" s="29">
        <f t="shared" si="26"/>
        <v>998</v>
      </c>
      <c r="Q361" s="30">
        <f t="shared" si="27"/>
        <v>75.98</v>
      </c>
      <c r="R361" s="30">
        <f t="shared" si="28"/>
        <v>79.02</v>
      </c>
      <c r="S361" s="30">
        <f t="shared" si="29"/>
        <v>73.02</v>
      </c>
    </row>
    <row r="362" spans="1:19" s="5" customFormat="1" ht="15.95" customHeight="1" x14ac:dyDescent="0.25">
      <c r="A362" s="61" t="s">
        <v>37</v>
      </c>
      <c r="B362" s="15" t="s">
        <v>125</v>
      </c>
      <c r="C362" s="60">
        <v>12</v>
      </c>
      <c r="D362" s="32" t="s">
        <v>153</v>
      </c>
      <c r="E362" s="27" t="s">
        <v>5</v>
      </c>
      <c r="F362" s="33">
        <v>239374</v>
      </c>
      <c r="G362" s="33">
        <v>117412</v>
      </c>
      <c r="H362" s="33">
        <v>121962</v>
      </c>
      <c r="I362" s="33">
        <v>21665</v>
      </c>
      <c r="J362" s="33">
        <v>11089</v>
      </c>
      <c r="K362" s="33">
        <v>10576</v>
      </c>
      <c r="L362" s="33">
        <v>177233</v>
      </c>
      <c r="M362" s="33">
        <v>93420</v>
      </c>
      <c r="N362" s="33">
        <v>83813</v>
      </c>
      <c r="O362" s="29">
        <f t="shared" si="25"/>
        <v>1039</v>
      </c>
      <c r="P362" s="29">
        <f t="shared" si="26"/>
        <v>954</v>
      </c>
      <c r="Q362" s="30">
        <f t="shared" si="27"/>
        <v>81.41</v>
      </c>
      <c r="R362" s="30">
        <f t="shared" si="28"/>
        <v>87.86</v>
      </c>
      <c r="S362" s="30">
        <f t="shared" si="29"/>
        <v>75.25</v>
      </c>
    </row>
    <row r="363" spans="1:19" s="5" customFormat="1" ht="15.95" customHeight="1" x14ac:dyDescent="0.25">
      <c r="A363" s="61" t="s">
        <v>37</v>
      </c>
      <c r="B363" s="15" t="s">
        <v>125</v>
      </c>
      <c r="C363" s="60">
        <v>20</v>
      </c>
      <c r="D363" s="32" t="s">
        <v>152</v>
      </c>
      <c r="E363" s="27" t="s">
        <v>5</v>
      </c>
      <c r="F363" s="33">
        <v>217895</v>
      </c>
      <c r="G363" s="33">
        <v>108986</v>
      </c>
      <c r="H363" s="33">
        <v>108909</v>
      </c>
      <c r="I363" s="33">
        <v>21616</v>
      </c>
      <c r="J363" s="33">
        <v>11106</v>
      </c>
      <c r="K363" s="33">
        <v>10510</v>
      </c>
      <c r="L363" s="33">
        <v>147156</v>
      </c>
      <c r="M363" s="33">
        <v>81781</v>
      </c>
      <c r="N363" s="33">
        <v>65375</v>
      </c>
      <c r="O363" s="29">
        <f t="shared" si="25"/>
        <v>999</v>
      </c>
      <c r="P363" s="29">
        <f t="shared" si="26"/>
        <v>946</v>
      </c>
      <c r="Q363" s="30">
        <f t="shared" si="27"/>
        <v>74.97</v>
      </c>
      <c r="R363" s="30">
        <f t="shared" si="28"/>
        <v>83.55</v>
      </c>
      <c r="S363" s="30">
        <f t="shared" si="29"/>
        <v>66.44</v>
      </c>
    </row>
    <row r="364" spans="1:19" s="5" customFormat="1" ht="15.95" customHeight="1" x14ac:dyDescent="0.25">
      <c r="A364" s="61" t="s">
        <v>37</v>
      </c>
      <c r="B364" s="15" t="s">
        <v>125</v>
      </c>
      <c r="C364" s="60">
        <v>21</v>
      </c>
      <c r="D364" s="46" t="s">
        <v>151</v>
      </c>
      <c r="E364" s="27" t="s">
        <v>5</v>
      </c>
      <c r="F364" s="33">
        <v>211787</v>
      </c>
      <c r="G364" s="33">
        <v>106034</v>
      </c>
      <c r="H364" s="33">
        <v>105753</v>
      </c>
      <c r="I364" s="33">
        <v>21534</v>
      </c>
      <c r="J364" s="33">
        <v>11245</v>
      </c>
      <c r="K364" s="33">
        <v>10289</v>
      </c>
      <c r="L364" s="33">
        <v>145471</v>
      </c>
      <c r="M364" s="33">
        <v>79195</v>
      </c>
      <c r="N364" s="33">
        <v>66276</v>
      </c>
      <c r="O364" s="29">
        <f t="shared" si="25"/>
        <v>997</v>
      </c>
      <c r="P364" s="29">
        <f t="shared" si="26"/>
        <v>915</v>
      </c>
      <c r="Q364" s="30">
        <f t="shared" si="27"/>
        <v>76.459999999999994</v>
      </c>
      <c r="R364" s="30">
        <f t="shared" si="28"/>
        <v>83.55</v>
      </c>
      <c r="S364" s="30">
        <f t="shared" si="29"/>
        <v>69.430000000000007</v>
      </c>
    </row>
    <row r="365" spans="1:19" s="5" customFormat="1" ht="15.95" customHeight="1" x14ac:dyDescent="0.25">
      <c r="A365" s="61" t="s">
        <v>37</v>
      </c>
      <c r="B365" s="15" t="s">
        <v>125</v>
      </c>
      <c r="C365" s="60" t="s">
        <v>57</v>
      </c>
      <c r="D365" s="32" t="s">
        <v>150</v>
      </c>
      <c r="E365" s="27" t="s">
        <v>5</v>
      </c>
      <c r="F365" s="33">
        <v>210143</v>
      </c>
      <c r="G365" s="33">
        <v>106232</v>
      </c>
      <c r="H365" s="33">
        <v>103911</v>
      </c>
      <c r="I365" s="33">
        <v>22299</v>
      </c>
      <c r="J365" s="33">
        <v>11538</v>
      </c>
      <c r="K365" s="33">
        <v>10761</v>
      </c>
      <c r="L365" s="33">
        <v>155626</v>
      </c>
      <c r="M365" s="33">
        <v>84590</v>
      </c>
      <c r="N365" s="33">
        <v>71036</v>
      </c>
      <c r="O365" s="29">
        <f t="shared" si="25"/>
        <v>978</v>
      </c>
      <c r="P365" s="29">
        <f t="shared" si="26"/>
        <v>933</v>
      </c>
      <c r="Q365" s="30">
        <f t="shared" si="27"/>
        <v>82.85</v>
      </c>
      <c r="R365" s="30">
        <f t="shared" si="28"/>
        <v>89.33</v>
      </c>
      <c r="S365" s="30">
        <f t="shared" si="29"/>
        <v>76.260000000000005</v>
      </c>
    </row>
    <row r="366" spans="1:19" s="5" customFormat="1" ht="15.95" customHeight="1" x14ac:dyDescent="0.25">
      <c r="A366" s="61" t="s">
        <v>37</v>
      </c>
      <c r="B366" s="15" t="s">
        <v>125</v>
      </c>
      <c r="C366" s="60">
        <v>18</v>
      </c>
      <c r="D366" s="32" t="s">
        <v>149</v>
      </c>
      <c r="E366" s="27" t="s">
        <v>5</v>
      </c>
      <c r="F366" s="33">
        <v>206419</v>
      </c>
      <c r="G366" s="33">
        <v>103541</v>
      </c>
      <c r="H366" s="33">
        <v>102878</v>
      </c>
      <c r="I366" s="33">
        <v>19126</v>
      </c>
      <c r="J366" s="33">
        <v>9903</v>
      </c>
      <c r="K366" s="33">
        <v>9223</v>
      </c>
      <c r="L366" s="33">
        <v>156217</v>
      </c>
      <c r="M366" s="33">
        <v>83584</v>
      </c>
      <c r="N366" s="33">
        <v>72633</v>
      </c>
      <c r="O366" s="29">
        <f t="shared" si="25"/>
        <v>994</v>
      </c>
      <c r="P366" s="29">
        <f t="shared" si="26"/>
        <v>931</v>
      </c>
      <c r="Q366" s="30">
        <f t="shared" si="27"/>
        <v>83.41</v>
      </c>
      <c r="R366" s="30">
        <f t="shared" si="28"/>
        <v>89.26</v>
      </c>
      <c r="S366" s="30">
        <f t="shared" si="29"/>
        <v>77.55</v>
      </c>
    </row>
    <row r="367" spans="1:19" s="5" customFormat="1" ht="15.95" customHeight="1" x14ac:dyDescent="0.25">
      <c r="A367" s="61" t="s">
        <v>37</v>
      </c>
      <c r="B367" s="15" t="s">
        <v>125</v>
      </c>
      <c r="C367" s="60">
        <v>21</v>
      </c>
      <c r="D367" s="46" t="s">
        <v>148</v>
      </c>
      <c r="E367" s="27" t="s">
        <v>5</v>
      </c>
      <c r="F367" s="33">
        <v>184771</v>
      </c>
      <c r="G367" s="33">
        <v>92006</v>
      </c>
      <c r="H367" s="33">
        <v>92765</v>
      </c>
      <c r="I367" s="33">
        <v>20517</v>
      </c>
      <c r="J367" s="33">
        <v>10455</v>
      </c>
      <c r="K367" s="33">
        <v>10062</v>
      </c>
      <c r="L367" s="33">
        <v>112151</v>
      </c>
      <c r="M367" s="33">
        <v>62646</v>
      </c>
      <c r="N367" s="33">
        <v>49505</v>
      </c>
      <c r="O367" s="29">
        <f t="shared" si="25"/>
        <v>1008</v>
      </c>
      <c r="P367" s="29">
        <f t="shared" si="26"/>
        <v>962</v>
      </c>
      <c r="Q367" s="30">
        <f t="shared" si="27"/>
        <v>68.28</v>
      </c>
      <c r="R367" s="30">
        <f t="shared" si="28"/>
        <v>76.819999999999993</v>
      </c>
      <c r="S367" s="30">
        <f t="shared" si="29"/>
        <v>59.86</v>
      </c>
    </row>
    <row r="368" spans="1:19" s="5" customFormat="1" ht="15.95" customHeight="1" x14ac:dyDescent="0.25">
      <c r="A368" s="61" t="s">
        <v>37</v>
      </c>
      <c r="B368" s="15" t="s">
        <v>125</v>
      </c>
      <c r="C368" s="60">
        <v>23</v>
      </c>
      <c r="D368" s="46" t="s">
        <v>147</v>
      </c>
      <c r="E368" s="27" t="s">
        <v>5</v>
      </c>
      <c r="F368" s="33">
        <v>179267</v>
      </c>
      <c r="G368" s="33">
        <v>89692</v>
      </c>
      <c r="H368" s="33">
        <v>89575</v>
      </c>
      <c r="I368" s="33">
        <v>18062</v>
      </c>
      <c r="J368" s="33">
        <v>9312</v>
      </c>
      <c r="K368" s="33">
        <v>8750</v>
      </c>
      <c r="L368" s="33">
        <v>128467</v>
      </c>
      <c r="M368" s="33">
        <v>69340</v>
      </c>
      <c r="N368" s="33">
        <v>59127</v>
      </c>
      <c r="O368" s="29">
        <f t="shared" si="25"/>
        <v>999</v>
      </c>
      <c r="P368" s="29">
        <f t="shared" si="26"/>
        <v>940</v>
      </c>
      <c r="Q368" s="30">
        <f t="shared" si="27"/>
        <v>79.69</v>
      </c>
      <c r="R368" s="30">
        <f t="shared" si="28"/>
        <v>86.27</v>
      </c>
      <c r="S368" s="30">
        <f t="shared" si="29"/>
        <v>73.150000000000006</v>
      </c>
    </row>
    <row r="369" spans="1:19" s="5" customFormat="1" ht="15.95" customHeight="1" x14ac:dyDescent="0.25">
      <c r="A369" s="61" t="s">
        <v>37</v>
      </c>
      <c r="B369" s="15" t="s">
        <v>125</v>
      </c>
      <c r="C369" s="60">
        <v>23</v>
      </c>
      <c r="D369" s="46" t="s">
        <v>146</v>
      </c>
      <c r="E369" s="27" t="s">
        <v>5</v>
      </c>
      <c r="F369" s="33">
        <v>175640</v>
      </c>
      <c r="G369" s="33">
        <v>87480</v>
      </c>
      <c r="H369" s="33">
        <v>88160</v>
      </c>
      <c r="I369" s="33">
        <v>15758</v>
      </c>
      <c r="J369" s="33">
        <v>8288</v>
      </c>
      <c r="K369" s="33">
        <v>7470</v>
      </c>
      <c r="L369" s="33">
        <v>136815</v>
      </c>
      <c r="M369" s="33">
        <v>72208</v>
      </c>
      <c r="N369" s="33">
        <v>64607</v>
      </c>
      <c r="O369" s="29">
        <f t="shared" si="25"/>
        <v>1008</v>
      </c>
      <c r="P369" s="29">
        <f t="shared" si="26"/>
        <v>901</v>
      </c>
      <c r="Q369" s="30">
        <f t="shared" si="27"/>
        <v>85.57</v>
      </c>
      <c r="R369" s="30">
        <f t="shared" si="28"/>
        <v>91.18</v>
      </c>
      <c r="S369" s="30">
        <f t="shared" si="29"/>
        <v>80.069999999999993</v>
      </c>
    </row>
    <row r="370" spans="1:19" s="5" customFormat="1" ht="15.95" customHeight="1" x14ac:dyDescent="0.25">
      <c r="A370" s="61" t="s">
        <v>37</v>
      </c>
      <c r="B370" s="15" t="s">
        <v>125</v>
      </c>
      <c r="C370" s="60">
        <v>16</v>
      </c>
      <c r="D370" s="46" t="s">
        <v>145</v>
      </c>
      <c r="E370" s="36" t="s">
        <v>0</v>
      </c>
      <c r="F370" s="33">
        <v>170008</v>
      </c>
      <c r="G370" s="33">
        <v>83561</v>
      </c>
      <c r="H370" s="33">
        <v>86447</v>
      </c>
      <c r="I370" s="33">
        <v>13778</v>
      </c>
      <c r="J370" s="33">
        <v>7076</v>
      </c>
      <c r="K370" s="33">
        <v>6702</v>
      </c>
      <c r="L370" s="33">
        <v>130173</v>
      </c>
      <c r="M370" s="33">
        <v>66337</v>
      </c>
      <c r="N370" s="33">
        <v>63836</v>
      </c>
      <c r="O370" s="29">
        <f t="shared" si="25"/>
        <v>1035</v>
      </c>
      <c r="P370" s="29">
        <f t="shared" si="26"/>
        <v>947</v>
      </c>
      <c r="Q370" s="30">
        <f t="shared" si="27"/>
        <v>83.32</v>
      </c>
      <c r="R370" s="30">
        <f t="shared" si="28"/>
        <v>86.73</v>
      </c>
      <c r="S370" s="30">
        <f t="shared" si="29"/>
        <v>80.05</v>
      </c>
    </row>
    <row r="371" spans="1:19" s="5" customFormat="1" ht="15.95" customHeight="1" x14ac:dyDescent="0.25">
      <c r="A371" s="61" t="s">
        <v>37</v>
      </c>
      <c r="B371" s="15" t="s">
        <v>125</v>
      </c>
      <c r="C371" s="60">
        <v>17</v>
      </c>
      <c r="D371" s="46" t="s">
        <v>144</v>
      </c>
      <c r="E371" s="36" t="s">
        <v>0</v>
      </c>
      <c r="F371" s="33">
        <v>164649</v>
      </c>
      <c r="G371" s="33">
        <v>81324</v>
      </c>
      <c r="H371" s="33">
        <v>83325</v>
      </c>
      <c r="I371" s="33">
        <v>13040</v>
      </c>
      <c r="J371" s="33">
        <v>6630</v>
      </c>
      <c r="K371" s="33">
        <v>6410</v>
      </c>
      <c r="L371" s="33">
        <v>125275</v>
      </c>
      <c r="M371" s="33">
        <v>64968</v>
      </c>
      <c r="N371" s="33">
        <v>60307</v>
      </c>
      <c r="O371" s="29">
        <f t="shared" si="25"/>
        <v>1025</v>
      </c>
      <c r="P371" s="29">
        <f t="shared" si="26"/>
        <v>967</v>
      </c>
      <c r="Q371" s="30">
        <f t="shared" si="27"/>
        <v>82.63</v>
      </c>
      <c r="R371" s="30">
        <f t="shared" si="28"/>
        <v>86.98</v>
      </c>
      <c r="S371" s="30">
        <f t="shared" si="29"/>
        <v>78.41</v>
      </c>
    </row>
    <row r="372" spans="1:19" s="5" customFormat="1" ht="15.95" customHeight="1" x14ac:dyDescent="0.25">
      <c r="A372" s="61" t="s">
        <v>37</v>
      </c>
      <c r="B372" s="15" t="s">
        <v>125</v>
      </c>
      <c r="C372" s="60" t="s">
        <v>71</v>
      </c>
      <c r="D372" s="46" t="s">
        <v>143</v>
      </c>
      <c r="E372" s="27" t="s">
        <v>5</v>
      </c>
      <c r="F372" s="33">
        <v>163875</v>
      </c>
      <c r="G372" s="33">
        <v>83961</v>
      </c>
      <c r="H372" s="33">
        <v>79914</v>
      </c>
      <c r="I372" s="33">
        <v>13150</v>
      </c>
      <c r="J372" s="33">
        <v>6890</v>
      </c>
      <c r="K372" s="33">
        <v>6260</v>
      </c>
      <c r="L372" s="33">
        <v>114119</v>
      </c>
      <c r="M372" s="33">
        <v>64092</v>
      </c>
      <c r="N372" s="33">
        <v>50027</v>
      </c>
      <c r="O372" s="29">
        <f t="shared" si="25"/>
        <v>952</v>
      </c>
      <c r="P372" s="29">
        <f t="shared" si="26"/>
        <v>909</v>
      </c>
      <c r="Q372" s="30">
        <f t="shared" si="27"/>
        <v>75.709999999999994</v>
      </c>
      <c r="R372" s="30">
        <f t="shared" si="28"/>
        <v>83.16</v>
      </c>
      <c r="S372" s="30">
        <f t="shared" si="29"/>
        <v>67.92</v>
      </c>
    </row>
    <row r="373" spans="1:19" s="5" customFormat="1" ht="15.95" customHeight="1" x14ac:dyDescent="0.25">
      <c r="A373" s="61" t="s">
        <v>37</v>
      </c>
      <c r="B373" s="15" t="s">
        <v>125</v>
      </c>
      <c r="C373" s="60">
        <v>18</v>
      </c>
      <c r="D373" s="32" t="s">
        <v>142</v>
      </c>
      <c r="E373" s="27" t="s">
        <v>5</v>
      </c>
      <c r="F373" s="33">
        <v>162725</v>
      </c>
      <c r="G373" s="33">
        <v>80215</v>
      </c>
      <c r="H373" s="33">
        <v>82510</v>
      </c>
      <c r="I373" s="33">
        <v>14744</v>
      </c>
      <c r="J373" s="33">
        <v>7512</v>
      </c>
      <c r="K373" s="33">
        <v>7232</v>
      </c>
      <c r="L373" s="33">
        <v>114435</v>
      </c>
      <c r="M373" s="33">
        <v>61365</v>
      </c>
      <c r="N373" s="33">
        <v>53070</v>
      </c>
      <c r="O373" s="29">
        <f t="shared" si="25"/>
        <v>1029</v>
      </c>
      <c r="P373" s="29">
        <f t="shared" si="26"/>
        <v>963</v>
      </c>
      <c r="Q373" s="30">
        <f t="shared" si="27"/>
        <v>77.33</v>
      </c>
      <c r="R373" s="30">
        <f t="shared" si="28"/>
        <v>84.41</v>
      </c>
      <c r="S373" s="30">
        <f t="shared" si="29"/>
        <v>70.5</v>
      </c>
    </row>
    <row r="374" spans="1:19" s="5" customFormat="1" ht="15.95" customHeight="1" x14ac:dyDescent="0.25">
      <c r="A374" s="61" t="s">
        <v>37</v>
      </c>
      <c r="B374" s="15" t="s">
        <v>125</v>
      </c>
      <c r="C374" s="60" t="s">
        <v>34</v>
      </c>
      <c r="D374" s="32" t="s">
        <v>141</v>
      </c>
      <c r="E374" s="27" t="s">
        <v>5</v>
      </c>
      <c r="F374" s="33">
        <v>153736</v>
      </c>
      <c r="G374" s="33">
        <v>77088</v>
      </c>
      <c r="H374" s="33">
        <v>76648</v>
      </c>
      <c r="I374" s="33">
        <v>15487</v>
      </c>
      <c r="J374" s="33">
        <v>7922</v>
      </c>
      <c r="K374" s="33">
        <v>7565</v>
      </c>
      <c r="L374" s="33">
        <v>117035</v>
      </c>
      <c r="M374" s="33">
        <v>62180</v>
      </c>
      <c r="N374" s="33">
        <v>54855</v>
      </c>
      <c r="O374" s="29">
        <f t="shared" si="25"/>
        <v>994</v>
      </c>
      <c r="P374" s="29">
        <f t="shared" si="26"/>
        <v>955</v>
      </c>
      <c r="Q374" s="30">
        <f t="shared" si="27"/>
        <v>84.66</v>
      </c>
      <c r="R374" s="30">
        <f t="shared" si="28"/>
        <v>89.9</v>
      </c>
      <c r="S374" s="30">
        <f t="shared" si="29"/>
        <v>79.400000000000006</v>
      </c>
    </row>
    <row r="375" spans="1:19" s="5" customFormat="1" ht="15.95" customHeight="1" x14ac:dyDescent="0.25">
      <c r="A375" s="61" t="s">
        <v>37</v>
      </c>
      <c r="B375" s="15" t="s">
        <v>125</v>
      </c>
      <c r="C375" s="60">
        <v>22</v>
      </c>
      <c r="D375" s="46" t="s">
        <v>140</v>
      </c>
      <c r="E375" s="36" t="s">
        <v>0</v>
      </c>
      <c r="F375" s="33">
        <v>151835</v>
      </c>
      <c r="G375" s="33">
        <v>76625</v>
      </c>
      <c r="H375" s="33">
        <v>75210</v>
      </c>
      <c r="I375" s="33">
        <v>16309</v>
      </c>
      <c r="J375" s="33">
        <v>8263</v>
      </c>
      <c r="K375" s="33">
        <v>8046</v>
      </c>
      <c r="L375" s="33">
        <v>103538</v>
      </c>
      <c r="M375" s="33">
        <v>56177</v>
      </c>
      <c r="N375" s="33">
        <v>47361</v>
      </c>
      <c r="O375" s="29">
        <f t="shared" si="25"/>
        <v>982</v>
      </c>
      <c r="P375" s="29">
        <f t="shared" si="26"/>
        <v>974</v>
      </c>
      <c r="Q375" s="30">
        <f t="shared" si="27"/>
        <v>76.400000000000006</v>
      </c>
      <c r="R375" s="30">
        <f t="shared" si="28"/>
        <v>82.18</v>
      </c>
      <c r="S375" s="30">
        <f t="shared" si="29"/>
        <v>70.52</v>
      </c>
    </row>
    <row r="376" spans="1:19" s="5" customFormat="1" ht="15.95" customHeight="1" x14ac:dyDescent="0.25">
      <c r="A376" s="61" t="s">
        <v>37</v>
      </c>
      <c r="B376" s="15" t="s">
        <v>125</v>
      </c>
      <c r="C376" s="60">
        <v>15</v>
      </c>
      <c r="D376" s="32" t="s">
        <v>139</v>
      </c>
      <c r="E376" s="27" t="s">
        <v>5</v>
      </c>
      <c r="F376" s="33">
        <v>147056</v>
      </c>
      <c r="G376" s="33">
        <v>72457</v>
      </c>
      <c r="H376" s="33">
        <v>74599</v>
      </c>
      <c r="I376" s="33">
        <v>12520</v>
      </c>
      <c r="J376" s="33">
        <v>6327</v>
      </c>
      <c r="K376" s="33">
        <v>6193</v>
      </c>
      <c r="L376" s="33">
        <v>112424</v>
      </c>
      <c r="M376" s="33">
        <v>57519</v>
      </c>
      <c r="N376" s="33">
        <v>54905</v>
      </c>
      <c r="O376" s="29">
        <f t="shared" si="25"/>
        <v>1030</v>
      </c>
      <c r="P376" s="29">
        <f t="shared" si="26"/>
        <v>979</v>
      </c>
      <c r="Q376" s="30">
        <f t="shared" si="27"/>
        <v>83.56</v>
      </c>
      <c r="R376" s="30">
        <f t="shared" si="28"/>
        <v>86.98</v>
      </c>
      <c r="S376" s="30">
        <f t="shared" si="29"/>
        <v>80.260000000000005</v>
      </c>
    </row>
    <row r="377" spans="1:19" s="5" customFormat="1" ht="15.95" customHeight="1" x14ac:dyDescent="0.25">
      <c r="A377" s="61" t="s">
        <v>37</v>
      </c>
      <c r="B377" s="15" t="s">
        <v>125</v>
      </c>
      <c r="C377" s="60" t="s">
        <v>48</v>
      </c>
      <c r="D377" s="32" t="s">
        <v>138</v>
      </c>
      <c r="E377" s="27" t="s">
        <v>5</v>
      </c>
      <c r="F377" s="33">
        <v>146988</v>
      </c>
      <c r="G377" s="33">
        <v>73077</v>
      </c>
      <c r="H377" s="33">
        <v>73911</v>
      </c>
      <c r="I377" s="33">
        <v>12741</v>
      </c>
      <c r="J377" s="33">
        <v>6599</v>
      </c>
      <c r="K377" s="33">
        <v>6142</v>
      </c>
      <c r="L377" s="33">
        <v>115061</v>
      </c>
      <c r="M377" s="33">
        <v>60953</v>
      </c>
      <c r="N377" s="33">
        <v>54108</v>
      </c>
      <c r="O377" s="29">
        <f t="shared" si="25"/>
        <v>1011</v>
      </c>
      <c r="P377" s="29">
        <f t="shared" si="26"/>
        <v>931</v>
      </c>
      <c r="Q377" s="30">
        <f t="shared" si="27"/>
        <v>85.71</v>
      </c>
      <c r="R377" s="30">
        <f t="shared" si="28"/>
        <v>91.69</v>
      </c>
      <c r="S377" s="30">
        <f t="shared" si="29"/>
        <v>79.84</v>
      </c>
    </row>
    <row r="378" spans="1:19" s="5" customFormat="1" ht="15.95" customHeight="1" x14ac:dyDescent="0.25">
      <c r="A378" s="61" t="s">
        <v>37</v>
      </c>
      <c r="B378" s="15" t="s">
        <v>125</v>
      </c>
      <c r="C378" s="60" t="s">
        <v>71</v>
      </c>
      <c r="D378" s="32" t="s">
        <v>137</v>
      </c>
      <c r="E378" s="27" t="s">
        <v>5</v>
      </c>
      <c r="F378" s="33">
        <v>139103</v>
      </c>
      <c r="G378" s="33">
        <v>70403</v>
      </c>
      <c r="H378" s="33">
        <v>68700</v>
      </c>
      <c r="I378" s="33">
        <v>15390</v>
      </c>
      <c r="J378" s="33">
        <v>7918</v>
      </c>
      <c r="K378" s="33">
        <v>7472</v>
      </c>
      <c r="L378" s="33">
        <v>99158</v>
      </c>
      <c r="M378" s="33">
        <v>54673</v>
      </c>
      <c r="N378" s="33">
        <v>44485</v>
      </c>
      <c r="O378" s="29">
        <f t="shared" si="25"/>
        <v>976</v>
      </c>
      <c r="P378" s="29">
        <f t="shared" si="26"/>
        <v>944</v>
      </c>
      <c r="Q378" s="30">
        <f t="shared" si="27"/>
        <v>80.150000000000006</v>
      </c>
      <c r="R378" s="30">
        <f t="shared" si="28"/>
        <v>87.5</v>
      </c>
      <c r="S378" s="30">
        <f t="shared" si="29"/>
        <v>72.650000000000006</v>
      </c>
    </row>
    <row r="379" spans="1:19" s="5" customFormat="1" ht="15.95" customHeight="1" x14ac:dyDescent="0.25">
      <c r="A379" s="61" t="s">
        <v>37</v>
      </c>
      <c r="B379" s="15" t="s">
        <v>125</v>
      </c>
      <c r="C379" s="60">
        <v>22</v>
      </c>
      <c r="D379" s="46" t="s">
        <v>136</v>
      </c>
      <c r="E379" s="36" t="s">
        <v>0</v>
      </c>
      <c r="F379" s="33">
        <v>126479</v>
      </c>
      <c r="G379" s="33">
        <v>62695</v>
      </c>
      <c r="H379" s="33">
        <v>63784</v>
      </c>
      <c r="I379" s="33">
        <v>12614</v>
      </c>
      <c r="J379" s="33">
        <v>6495</v>
      </c>
      <c r="K379" s="33">
        <v>6119</v>
      </c>
      <c r="L379" s="33">
        <v>86197</v>
      </c>
      <c r="M379" s="33">
        <v>47471</v>
      </c>
      <c r="N379" s="33">
        <v>38726</v>
      </c>
      <c r="O379" s="29">
        <f t="shared" si="25"/>
        <v>1017</v>
      </c>
      <c r="P379" s="29">
        <f t="shared" si="26"/>
        <v>942</v>
      </c>
      <c r="Q379" s="30">
        <f t="shared" si="27"/>
        <v>75.7</v>
      </c>
      <c r="R379" s="30">
        <f t="shared" si="28"/>
        <v>84.47</v>
      </c>
      <c r="S379" s="30">
        <f t="shared" si="29"/>
        <v>67.16</v>
      </c>
    </row>
    <row r="380" spans="1:19" s="5" customFormat="1" ht="15.95" customHeight="1" x14ac:dyDescent="0.25">
      <c r="A380" s="61" t="s">
        <v>37</v>
      </c>
      <c r="B380" s="15" t="s">
        <v>125</v>
      </c>
      <c r="C380" s="60">
        <v>22</v>
      </c>
      <c r="D380" s="46" t="s">
        <v>135</v>
      </c>
      <c r="E380" s="36" t="s">
        <v>0</v>
      </c>
      <c r="F380" s="33">
        <v>121992</v>
      </c>
      <c r="G380" s="33">
        <v>62186</v>
      </c>
      <c r="H380" s="33">
        <v>59806</v>
      </c>
      <c r="I380" s="33">
        <v>11963</v>
      </c>
      <c r="J380" s="33">
        <v>6441</v>
      </c>
      <c r="K380" s="33">
        <v>5522</v>
      </c>
      <c r="L380" s="33">
        <v>79037</v>
      </c>
      <c r="M380" s="33">
        <v>45025</v>
      </c>
      <c r="N380" s="33">
        <v>34012</v>
      </c>
      <c r="O380" s="29">
        <f t="shared" si="25"/>
        <v>962</v>
      </c>
      <c r="P380" s="29">
        <f t="shared" si="26"/>
        <v>857</v>
      </c>
      <c r="Q380" s="30">
        <f t="shared" si="27"/>
        <v>71.83</v>
      </c>
      <c r="R380" s="30">
        <f t="shared" si="28"/>
        <v>80.77</v>
      </c>
      <c r="S380" s="30">
        <f t="shared" si="29"/>
        <v>62.66</v>
      </c>
    </row>
    <row r="381" spans="1:19" s="5" customFormat="1" ht="15.95" customHeight="1" x14ac:dyDescent="0.25">
      <c r="A381" s="61" t="s">
        <v>37</v>
      </c>
      <c r="B381" s="15" t="s">
        <v>125</v>
      </c>
      <c r="C381" s="60">
        <v>10</v>
      </c>
      <c r="D381" s="32" t="s">
        <v>134</v>
      </c>
      <c r="E381" s="27" t="s">
        <v>5</v>
      </c>
      <c r="F381" s="33">
        <v>119450</v>
      </c>
      <c r="G381" s="33">
        <v>58652</v>
      </c>
      <c r="H381" s="33">
        <v>60798</v>
      </c>
      <c r="I381" s="33">
        <v>10128</v>
      </c>
      <c r="J381" s="33">
        <v>5160</v>
      </c>
      <c r="K381" s="33">
        <v>4968</v>
      </c>
      <c r="L381" s="33">
        <v>89496</v>
      </c>
      <c r="M381" s="33">
        <v>47605</v>
      </c>
      <c r="N381" s="33">
        <v>41891</v>
      </c>
      <c r="O381" s="29">
        <f t="shared" si="25"/>
        <v>1037</v>
      </c>
      <c r="P381" s="29">
        <f t="shared" si="26"/>
        <v>963</v>
      </c>
      <c r="Q381" s="30">
        <f t="shared" si="27"/>
        <v>81.86</v>
      </c>
      <c r="R381" s="30">
        <f t="shared" si="28"/>
        <v>88.99</v>
      </c>
      <c r="S381" s="30">
        <f t="shared" si="29"/>
        <v>75.03</v>
      </c>
    </row>
    <row r="382" spans="1:19" s="5" customFormat="1" ht="15.95" customHeight="1" x14ac:dyDescent="0.25">
      <c r="A382" s="61" t="s">
        <v>37</v>
      </c>
      <c r="B382" s="15" t="s">
        <v>125</v>
      </c>
      <c r="C382" s="60">
        <v>16</v>
      </c>
      <c r="D382" s="46" t="s">
        <v>133</v>
      </c>
      <c r="E382" s="36" t="s">
        <v>0</v>
      </c>
      <c r="F382" s="33">
        <v>118289</v>
      </c>
      <c r="G382" s="33">
        <v>58941</v>
      </c>
      <c r="H382" s="33">
        <v>59348</v>
      </c>
      <c r="I382" s="33">
        <v>9952</v>
      </c>
      <c r="J382" s="33">
        <v>5081</v>
      </c>
      <c r="K382" s="33">
        <v>4871</v>
      </c>
      <c r="L382" s="33">
        <v>89009</v>
      </c>
      <c r="M382" s="33">
        <v>46529</v>
      </c>
      <c r="N382" s="33">
        <v>42480</v>
      </c>
      <c r="O382" s="29">
        <f t="shared" si="25"/>
        <v>1007</v>
      </c>
      <c r="P382" s="29">
        <f t="shared" si="26"/>
        <v>959</v>
      </c>
      <c r="Q382" s="30">
        <f t="shared" si="27"/>
        <v>82.16</v>
      </c>
      <c r="R382" s="30">
        <f t="shared" si="28"/>
        <v>86.39</v>
      </c>
      <c r="S382" s="30">
        <f t="shared" si="29"/>
        <v>77.98</v>
      </c>
    </row>
    <row r="383" spans="1:19" s="5" customFormat="1" ht="15.95" customHeight="1" x14ac:dyDescent="0.25">
      <c r="A383" s="61" t="s">
        <v>37</v>
      </c>
      <c r="B383" s="15" t="s">
        <v>125</v>
      </c>
      <c r="C383" s="60">
        <v>17</v>
      </c>
      <c r="D383" s="32" t="s">
        <v>132</v>
      </c>
      <c r="E383" s="27" t="s">
        <v>5</v>
      </c>
      <c r="F383" s="33">
        <v>117568</v>
      </c>
      <c r="G383" s="33">
        <v>59514</v>
      </c>
      <c r="H383" s="33">
        <v>58054</v>
      </c>
      <c r="I383" s="33">
        <v>10519</v>
      </c>
      <c r="J383" s="33">
        <v>5420</v>
      </c>
      <c r="K383" s="33">
        <v>5099</v>
      </c>
      <c r="L383" s="33">
        <v>84889</v>
      </c>
      <c r="M383" s="33">
        <v>46228</v>
      </c>
      <c r="N383" s="33">
        <v>38661</v>
      </c>
      <c r="O383" s="29">
        <f t="shared" si="25"/>
        <v>975</v>
      </c>
      <c r="P383" s="29">
        <f t="shared" si="26"/>
        <v>941</v>
      </c>
      <c r="Q383" s="30">
        <f t="shared" si="27"/>
        <v>79.3</v>
      </c>
      <c r="R383" s="30">
        <f t="shared" si="28"/>
        <v>85.46</v>
      </c>
      <c r="S383" s="30">
        <f t="shared" si="29"/>
        <v>73.010000000000005</v>
      </c>
    </row>
    <row r="384" spans="1:19" s="5" customFormat="1" ht="15.95" customHeight="1" x14ac:dyDescent="0.25">
      <c r="A384" s="61" t="s">
        <v>37</v>
      </c>
      <c r="B384" s="15" t="s">
        <v>125</v>
      </c>
      <c r="C384" s="60" t="s">
        <v>15</v>
      </c>
      <c r="D384" s="32" t="s">
        <v>131</v>
      </c>
      <c r="E384" s="27" t="s">
        <v>5</v>
      </c>
      <c r="F384" s="33">
        <v>113893</v>
      </c>
      <c r="G384" s="33">
        <v>56600</v>
      </c>
      <c r="H384" s="33">
        <v>57293</v>
      </c>
      <c r="I384" s="33">
        <v>11396</v>
      </c>
      <c r="J384" s="33">
        <v>5867</v>
      </c>
      <c r="K384" s="33">
        <v>5529</v>
      </c>
      <c r="L384" s="33">
        <v>81022</v>
      </c>
      <c r="M384" s="33">
        <v>44870</v>
      </c>
      <c r="N384" s="33">
        <v>36152</v>
      </c>
      <c r="O384" s="29">
        <f t="shared" si="25"/>
        <v>1012</v>
      </c>
      <c r="P384" s="29">
        <f t="shared" si="26"/>
        <v>942</v>
      </c>
      <c r="Q384" s="30">
        <f t="shared" si="27"/>
        <v>79.05</v>
      </c>
      <c r="R384" s="30">
        <f t="shared" si="28"/>
        <v>88.44</v>
      </c>
      <c r="S384" s="30">
        <f t="shared" si="29"/>
        <v>69.84</v>
      </c>
    </row>
    <row r="385" spans="1:19" s="5" customFormat="1" ht="15.95" customHeight="1" x14ac:dyDescent="0.25">
      <c r="A385" s="61" t="s">
        <v>37</v>
      </c>
      <c r="B385" s="15" t="s">
        <v>125</v>
      </c>
      <c r="C385" s="60">
        <v>22</v>
      </c>
      <c r="D385" s="46" t="s">
        <v>130</v>
      </c>
      <c r="E385" s="36" t="s">
        <v>0</v>
      </c>
      <c r="F385" s="33">
        <v>108249</v>
      </c>
      <c r="G385" s="33">
        <v>54027</v>
      </c>
      <c r="H385" s="33">
        <v>54222</v>
      </c>
      <c r="I385" s="33">
        <v>11325</v>
      </c>
      <c r="J385" s="33">
        <v>5813</v>
      </c>
      <c r="K385" s="33">
        <v>5512</v>
      </c>
      <c r="L385" s="33">
        <v>69948</v>
      </c>
      <c r="M385" s="33">
        <v>39781</v>
      </c>
      <c r="N385" s="33">
        <v>30167</v>
      </c>
      <c r="O385" s="29">
        <f t="shared" si="25"/>
        <v>1004</v>
      </c>
      <c r="P385" s="29">
        <f t="shared" si="26"/>
        <v>948</v>
      </c>
      <c r="Q385" s="30">
        <f t="shared" si="27"/>
        <v>72.17</v>
      </c>
      <c r="R385" s="30">
        <f t="shared" si="28"/>
        <v>82.51</v>
      </c>
      <c r="S385" s="30">
        <f t="shared" si="29"/>
        <v>61.93</v>
      </c>
    </row>
    <row r="386" spans="1:19" s="5" customFormat="1" ht="15.95" customHeight="1" x14ac:dyDescent="0.25">
      <c r="A386" s="61" t="s">
        <v>37</v>
      </c>
      <c r="B386" s="15" t="s">
        <v>125</v>
      </c>
      <c r="C386" s="60" t="s">
        <v>34</v>
      </c>
      <c r="D386" s="32" t="s">
        <v>129</v>
      </c>
      <c r="E386" s="27" t="s">
        <v>5</v>
      </c>
      <c r="F386" s="33">
        <v>106524</v>
      </c>
      <c r="G386" s="33">
        <v>52800</v>
      </c>
      <c r="H386" s="33">
        <v>53724</v>
      </c>
      <c r="I386" s="33">
        <v>9511</v>
      </c>
      <c r="J386" s="33">
        <v>4895</v>
      </c>
      <c r="K386" s="33">
        <v>4616</v>
      </c>
      <c r="L386" s="33">
        <v>82268</v>
      </c>
      <c r="M386" s="33">
        <v>43655</v>
      </c>
      <c r="N386" s="33">
        <v>38613</v>
      </c>
      <c r="O386" s="29">
        <f t="shared" si="25"/>
        <v>1018</v>
      </c>
      <c r="P386" s="29">
        <f t="shared" si="26"/>
        <v>943</v>
      </c>
      <c r="Q386" s="30">
        <f t="shared" si="27"/>
        <v>84.8</v>
      </c>
      <c r="R386" s="30">
        <f t="shared" si="28"/>
        <v>91.13</v>
      </c>
      <c r="S386" s="30">
        <f t="shared" si="29"/>
        <v>78.63</v>
      </c>
    </row>
    <row r="387" spans="1:19" s="5" customFormat="1" ht="15.95" customHeight="1" x14ac:dyDescent="0.25">
      <c r="A387" s="61" t="s">
        <v>37</v>
      </c>
      <c r="B387" s="15" t="s">
        <v>125</v>
      </c>
      <c r="C387" s="60" t="s">
        <v>34</v>
      </c>
      <c r="D387" s="32" t="s">
        <v>128</v>
      </c>
      <c r="E387" s="27" t="s">
        <v>5</v>
      </c>
      <c r="F387" s="33">
        <v>104956</v>
      </c>
      <c r="G387" s="33">
        <v>52610</v>
      </c>
      <c r="H387" s="33">
        <v>52346</v>
      </c>
      <c r="I387" s="33">
        <v>10572</v>
      </c>
      <c r="J387" s="33">
        <v>5432</v>
      </c>
      <c r="K387" s="33">
        <v>5140</v>
      </c>
      <c r="L387" s="33">
        <v>77557</v>
      </c>
      <c r="M387" s="33">
        <v>42147</v>
      </c>
      <c r="N387" s="33">
        <v>35410</v>
      </c>
      <c r="O387" s="29">
        <f t="shared" si="25"/>
        <v>995</v>
      </c>
      <c r="P387" s="29">
        <f t="shared" si="26"/>
        <v>946</v>
      </c>
      <c r="Q387" s="30">
        <f t="shared" si="27"/>
        <v>82.17</v>
      </c>
      <c r="R387" s="30">
        <f t="shared" si="28"/>
        <v>89.34</v>
      </c>
      <c r="S387" s="30">
        <f t="shared" si="29"/>
        <v>75.010000000000005</v>
      </c>
    </row>
    <row r="388" spans="1:19" s="5" customFormat="1" ht="15.95" customHeight="1" x14ac:dyDescent="0.25">
      <c r="A388" s="61" t="s">
        <v>37</v>
      </c>
      <c r="B388" s="15" t="s">
        <v>125</v>
      </c>
      <c r="C388" s="60" t="s">
        <v>2</v>
      </c>
      <c r="D388" s="32" t="s">
        <v>127</v>
      </c>
      <c r="E388" s="27" t="s">
        <v>5</v>
      </c>
      <c r="F388" s="33">
        <v>103962</v>
      </c>
      <c r="G388" s="33">
        <v>51819</v>
      </c>
      <c r="H388" s="33">
        <v>52143</v>
      </c>
      <c r="I388" s="33">
        <v>10068</v>
      </c>
      <c r="J388" s="33">
        <v>5131</v>
      </c>
      <c r="K388" s="33">
        <v>4937</v>
      </c>
      <c r="L388" s="33">
        <v>73882</v>
      </c>
      <c r="M388" s="33">
        <v>40769</v>
      </c>
      <c r="N388" s="33">
        <v>33113</v>
      </c>
      <c r="O388" s="29">
        <f t="shared" ref="O388:O451" si="30">ROUND((H388/G388)*1000,0)</f>
        <v>1006</v>
      </c>
      <c r="P388" s="29">
        <f t="shared" ref="P388:P451" si="31">ROUND((K388/J388)*1000,0)</f>
        <v>962</v>
      </c>
      <c r="Q388" s="30">
        <f t="shared" ref="Q388:Q451" si="32">ROUND(L388/(F388-I388)*100,2)</f>
        <v>78.69</v>
      </c>
      <c r="R388" s="30">
        <f t="shared" ref="R388:R451" si="33">ROUND(M388/(G388-J388)*100,2)</f>
        <v>87.32</v>
      </c>
      <c r="S388" s="30">
        <f t="shared" ref="S388:S451" si="34">ROUND(N388/(H388-K388)*100,2)</f>
        <v>70.150000000000006</v>
      </c>
    </row>
    <row r="389" spans="1:19" s="5" customFormat="1" ht="15.95" customHeight="1" x14ac:dyDescent="0.25">
      <c r="A389" s="61" t="s">
        <v>37</v>
      </c>
      <c r="B389" s="15" t="s">
        <v>125</v>
      </c>
      <c r="C389" s="60">
        <v>15</v>
      </c>
      <c r="D389" s="32" t="s">
        <v>126</v>
      </c>
      <c r="E389" s="27" t="s">
        <v>5</v>
      </c>
      <c r="F389" s="33">
        <v>103703</v>
      </c>
      <c r="G389" s="33">
        <v>51236</v>
      </c>
      <c r="H389" s="33">
        <v>52467</v>
      </c>
      <c r="I389" s="33">
        <v>9061</v>
      </c>
      <c r="J389" s="33">
        <v>4667</v>
      </c>
      <c r="K389" s="33">
        <v>4394</v>
      </c>
      <c r="L389" s="33">
        <v>78656</v>
      </c>
      <c r="M389" s="33">
        <v>40331</v>
      </c>
      <c r="N389" s="33">
        <v>38325</v>
      </c>
      <c r="O389" s="29">
        <f t="shared" si="30"/>
        <v>1024</v>
      </c>
      <c r="P389" s="29">
        <f t="shared" si="31"/>
        <v>942</v>
      </c>
      <c r="Q389" s="30">
        <f t="shared" si="32"/>
        <v>83.11</v>
      </c>
      <c r="R389" s="30">
        <f t="shared" si="33"/>
        <v>86.6</v>
      </c>
      <c r="S389" s="30">
        <f t="shared" si="34"/>
        <v>79.72</v>
      </c>
    </row>
    <row r="390" spans="1:19" s="5" customFormat="1" ht="15.95" customHeight="1" x14ac:dyDescent="0.25">
      <c r="A390" s="61" t="s">
        <v>37</v>
      </c>
      <c r="B390" s="15" t="s">
        <v>125</v>
      </c>
      <c r="C390" s="60">
        <v>17</v>
      </c>
      <c r="D390" s="46" t="s">
        <v>124</v>
      </c>
      <c r="E390" s="36" t="s">
        <v>0</v>
      </c>
      <c r="F390" s="33">
        <v>101550</v>
      </c>
      <c r="G390" s="33">
        <v>50201</v>
      </c>
      <c r="H390" s="33">
        <v>51349</v>
      </c>
      <c r="I390" s="33">
        <v>9525</v>
      </c>
      <c r="J390" s="33">
        <v>4916</v>
      </c>
      <c r="K390" s="33">
        <v>4609</v>
      </c>
      <c r="L390" s="33">
        <v>66336</v>
      </c>
      <c r="M390" s="33">
        <v>36472</v>
      </c>
      <c r="N390" s="33">
        <v>29864</v>
      </c>
      <c r="O390" s="29">
        <f t="shared" si="30"/>
        <v>1023</v>
      </c>
      <c r="P390" s="29">
        <f t="shared" si="31"/>
        <v>938</v>
      </c>
      <c r="Q390" s="30">
        <f t="shared" si="32"/>
        <v>72.08</v>
      </c>
      <c r="R390" s="30">
        <f t="shared" si="33"/>
        <v>80.540000000000006</v>
      </c>
      <c r="S390" s="30">
        <f t="shared" si="34"/>
        <v>63.89</v>
      </c>
    </row>
    <row r="391" spans="1:19" s="5" customFormat="1" ht="15.95" customHeight="1" x14ac:dyDescent="0.25">
      <c r="A391" s="61" t="s">
        <v>93</v>
      </c>
      <c r="B391" s="15" t="s">
        <v>92</v>
      </c>
      <c r="C391" s="55" t="s">
        <v>123</v>
      </c>
      <c r="D391" s="26" t="s">
        <v>122</v>
      </c>
      <c r="E391" s="27" t="s">
        <v>5</v>
      </c>
      <c r="F391" s="28">
        <v>8499399</v>
      </c>
      <c r="G391" s="28">
        <v>4441248</v>
      </c>
      <c r="H391" s="28">
        <v>4058151</v>
      </c>
      <c r="I391" s="28">
        <v>870743</v>
      </c>
      <c r="J391" s="28">
        <v>448965</v>
      </c>
      <c r="K391" s="28">
        <v>421778</v>
      </c>
      <c r="L391" s="28">
        <v>6832072</v>
      </c>
      <c r="M391" s="28">
        <v>3697180</v>
      </c>
      <c r="N391" s="28">
        <v>3134892</v>
      </c>
      <c r="O391" s="29">
        <f t="shared" si="30"/>
        <v>914</v>
      </c>
      <c r="P391" s="29">
        <f t="shared" si="31"/>
        <v>939</v>
      </c>
      <c r="Q391" s="30">
        <f t="shared" si="32"/>
        <v>89.56</v>
      </c>
      <c r="R391" s="30">
        <f t="shared" si="33"/>
        <v>92.61</v>
      </c>
      <c r="S391" s="30">
        <f t="shared" si="34"/>
        <v>86.21</v>
      </c>
    </row>
    <row r="392" spans="1:19" s="5" customFormat="1" ht="15.95" customHeight="1" x14ac:dyDescent="0.25">
      <c r="A392" s="61" t="s">
        <v>93</v>
      </c>
      <c r="B392" s="15" t="s">
        <v>92</v>
      </c>
      <c r="C392" s="55" t="s">
        <v>121</v>
      </c>
      <c r="D392" s="41" t="s">
        <v>120</v>
      </c>
      <c r="E392" s="27" t="s">
        <v>5</v>
      </c>
      <c r="F392" s="28">
        <v>983893</v>
      </c>
      <c r="G392" s="28">
        <v>493692</v>
      </c>
      <c r="H392" s="28">
        <v>490201</v>
      </c>
      <c r="I392" s="28">
        <v>86527</v>
      </c>
      <c r="J392" s="28">
        <v>44527</v>
      </c>
      <c r="K392" s="28">
        <v>42000</v>
      </c>
      <c r="L392" s="28">
        <v>779537</v>
      </c>
      <c r="M392" s="28">
        <v>404466</v>
      </c>
      <c r="N392" s="28">
        <v>375071</v>
      </c>
      <c r="O392" s="29">
        <f t="shared" si="30"/>
        <v>993</v>
      </c>
      <c r="P392" s="29">
        <f t="shared" si="31"/>
        <v>943</v>
      </c>
      <c r="Q392" s="30">
        <f t="shared" si="32"/>
        <v>86.87</v>
      </c>
      <c r="R392" s="30">
        <f t="shared" si="33"/>
        <v>90.05</v>
      </c>
      <c r="S392" s="30">
        <f t="shared" si="34"/>
        <v>83.68</v>
      </c>
    </row>
    <row r="393" spans="1:19" s="5" customFormat="1" ht="15.95" customHeight="1" x14ac:dyDescent="0.25">
      <c r="A393" s="61" t="s">
        <v>93</v>
      </c>
      <c r="B393" s="15" t="s">
        <v>92</v>
      </c>
      <c r="C393" s="55" t="s">
        <v>34</v>
      </c>
      <c r="D393" s="26" t="s">
        <v>119</v>
      </c>
      <c r="E393" s="36" t="s">
        <v>0</v>
      </c>
      <c r="F393" s="28">
        <v>943857</v>
      </c>
      <c r="G393" s="28">
        <v>475980</v>
      </c>
      <c r="H393" s="28">
        <v>467877</v>
      </c>
      <c r="I393" s="28">
        <v>99989</v>
      </c>
      <c r="J393" s="28">
        <v>51293</v>
      </c>
      <c r="K393" s="28">
        <v>48696</v>
      </c>
      <c r="L393" s="28">
        <v>736506</v>
      </c>
      <c r="M393" s="28">
        <v>389290</v>
      </c>
      <c r="N393" s="28">
        <v>347216</v>
      </c>
      <c r="O393" s="29">
        <f t="shared" si="30"/>
        <v>983</v>
      </c>
      <c r="P393" s="29">
        <f t="shared" si="31"/>
        <v>949</v>
      </c>
      <c r="Q393" s="30">
        <f t="shared" si="32"/>
        <v>87.28</v>
      </c>
      <c r="R393" s="30">
        <f t="shared" si="33"/>
        <v>91.67</v>
      </c>
      <c r="S393" s="30">
        <f t="shared" si="34"/>
        <v>82.83</v>
      </c>
    </row>
    <row r="394" spans="1:19" s="5" customFormat="1" ht="15.95" customHeight="1" x14ac:dyDescent="0.25">
      <c r="A394" s="61" t="s">
        <v>93</v>
      </c>
      <c r="B394" s="15" t="s">
        <v>92</v>
      </c>
      <c r="C394" s="55" t="s">
        <v>32</v>
      </c>
      <c r="D394" s="41" t="s">
        <v>118</v>
      </c>
      <c r="E394" s="27" t="s">
        <v>5</v>
      </c>
      <c r="F394" s="28">
        <v>619664</v>
      </c>
      <c r="G394" s="28">
        <v>307624</v>
      </c>
      <c r="H394" s="28">
        <v>312040</v>
      </c>
      <c r="I394" s="28">
        <v>55396</v>
      </c>
      <c r="J394" s="28">
        <v>28640</v>
      </c>
      <c r="K394" s="28">
        <v>26756</v>
      </c>
      <c r="L394" s="28">
        <v>528511</v>
      </c>
      <c r="M394" s="28">
        <v>269031</v>
      </c>
      <c r="N394" s="28">
        <v>259480</v>
      </c>
      <c r="O394" s="29">
        <f t="shared" si="30"/>
        <v>1014</v>
      </c>
      <c r="P394" s="29">
        <f t="shared" si="31"/>
        <v>934</v>
      </c>
      <c r="Q394" s="30">
        <f t="shared" si="32"/>
        <v>93.66</v>
      </c>
      <c r="R394" s="30">
        <f t="shared" si="33"/>
        <v>96.43</v>
      </c>
      <c r="S394" s="30">
        <f t="shared" si="34"/>
        <v>90.95</v>
      </c>
    </row>
    <row r="395" spans="1:19" s="5" customFormat="1" ht="15.95" customHeight="1" x14ac:dyDescent="0.25">
      <c r="A395" s="61" t="s">
        <v>93</v>
      </c>
      <c r="B395" s="15" t="s">
        <v>92</v>
      </c>
      <c r="C395" s="55" t="s">
        <v>71</v>
      </c>
      <c r="D395" s="26" t="s">
        <v>117</v>
      </c>
      <c r="E395" s="27" t="s">
        <v>5</v>
      </c>
      <c r="F395" s="28">
        <v>610189</v>
      </c>
      <c r="G395" s="28">
        <v>309689</v>
      </c>
      <c r="H395" s="28">
        <v>300500</v>
      </c>
      <c r="I395" s="28">
        <v>63519</v>
      </c>
      <c r="J395" s="28">
        <v>32909</v>
      </c>
      <c r="K395" s="28">
        <v>30610</v>
      </c>
      <c r="L395" s="28">
        <v>491604</v>
      </c>
      <c r="M395" s="28">
        <v>260796</v>
      </c>
      <c r="N395" s="28">
        <v>230808</v>
      </c>
      <c r="O395" s="29">
        <f t="shared" si="30"/>
        <v>970</v>
      </c>
      <c r="P395" s="29">
        <f t="shared" si="31"/>
        <v>930</v>
      </c>
      <c r="Q395" s="30">
        <f t="shared" si="32"/>
        <v>89.93</v>
      </c>
      <c r="R395" s="30">
        <f t="shared" si="33"/>
        <v>94.23</v>
      </c>
      <c r="S395" s="30">
        <f t="shared" si="34"/>
        <v>85.52</v>
      </c>
    </row>
    <row r="396" spans="1:19" s="5" customFormat="1" ht="15.95" customHeight="1" x14ac:dyDescent="0.25">
      <c r="A396" s="61" t="s">
        <v>93</v>
      </c>
      <c r="B396" s="15" t="s">
        <v>92</v>
      </c>
      <c r="C396" s="55" t="s">
        <v>116</v>
      </c>
      <c r="D396" s="41" t="s">
        <v>115</v>
      </c>
      <c r="E396" s="27" t="s">
        <v>5</v>
      </c>
      <c r="F396" s="28">
        <v>541617</v>
      </c>
      <c r="G396" s="28">
        <v>277357</v>
      </c>
      <c r="H396" s="28">
        <v>264260</v>
      </c>
      <c r="I396" s="28">
        <v>70184</v>
      </c>
      <c r="J396" s="28">
        <v>36614</v>
      </c>
      <c r="K396" s="28">
        <v>33570</v>
      </c>
      <c r="L396" s="28">
        <v>394133</v>
      </c>
      <c r="M396" s="28">
        <v>214591</v>
      </c>
      <c r="N396" s="28">
        <v>179542</v>
      </c>
      <c r="O396" s="29">
        <f t="shared" si="30"/>
        <v>953</v>
      </c>
      <c r="P396" s="29">
        <f t="shared" si="31"/>
        <v>917</v>
      </c>
      <c r="Q396" s="30">
        <f t="shared" si="32"/>
        <v>83.6</v>
      </c>
      <c r="R396" s="30">
        <f t="shared" si="33"/>
        <v>89.14</v>
      </c>
      <c r="S396" s="30">
        <f t="shared" si="34"/>
        <v>77.83</v>
      </c>
    </row>
    <row r="397" spans="1:19" s="5" customFormat="1" ht="15.95" customHeight="1" x14ac:dyDescent="0.25">
      <c r="A397" s="61" t="s">
        <v>93</v>
      </c>
      <c r="B397" s="15" t="s">
        <v>92</v>
      </c>
      <c r="C397" s="55" t="s">
        <v>60</v>
      </c>
      <c r="D397" s="26" t="s">
        <v>114</v>
      </c>
      <c r="E397" s="36" t="s">
        <v>0</v>
      </c>
      <c r="F397" s="28">
        <v>435128</v>
      </c>
      <c r="G397" s="28">
        <v>220544</v>
      </c>
      <c r="H397" s="28">
        <v>214584</v>
      </c>
      <c r="I397" s="28">
        <v>44545</v>
      </c>
      <c r="J397" s="28">
        <v>22888</v>
      </c>
      <c r="K397" s="28">
        <v>21657</v>
      </c>
      <c r="L397" s="28">
        <v>331551</v>
      </c>
      <c r="M397" s="28">
        <v>175747</v>
      </c>
      <c r="N397" s="28">
        <v>155804</v>
      </c>
      <c r="O397" s="29">
        <f t="shared" si="30"/>
        <v>973</v>
      </c>
      <c r="P397" s="29">
        <f t="shared" si="31"/>
        <v>946</v>
      </c>
      <c r="Q397" s="30">
        <f t="shared" si="32"/>
        <v>84.89</v>
      </c>
      <c r="R397" s="30">
        <f t="shared" si="33"/>
        <v>88.92</v>
      </c>
      <c r="S397" s="30">
        <f t="shared" si="34"/>
        <v>80.760000000000005</v>
      </c>
    </row>
    <row r="398" spans="1:19" s="5" customFormat="1" ht="15.95" customHeight="1" x14ac:dyDescent="0.25">
      <c r="A398" s="61" t="s">
        <v>93</v>
      </c>
      <c r="B398" s="15" t="s">
        <v>92</v>
      </c>
      <c r="C398" s="55" t="s">
        <v>48</v>
      </c>
      <c r="D398" s="26" t="s">
        <v>113</v>
      </c>
      <c r="E398" s="36" t="s">
        <v>0</v>
      </c>
      <c r="F398" s="28">
        <v>409644</v>
      </c>
      <c r="G398" s="28">
        <v>206026</v>
      </c>
      <c r="H398" s="28">
        <v>203618</v>
      </c>
      <c r="I398" s="28">
        <v>49587</v>
      </c>
      <c r="J398" s="28">
        <v>25337</v>
      </c>
      <c r="K398" s="28">
        <v>24250</v>
      </c>
      <c r="L398" s="28">
        <v>281768</v>
      </c>
      <c r="M398" s="28">
        <v>153275</v>
      </c>
      <c r="N398" s="28">
        <v>128493</v>
      </c>
      <c r="O398" s="29">
        <f t="shared" si="30"/>
        <v>988</v>
      </c>
      <c r="P398" s="29">
        <f t="shared" si="31"/>
        <v>957</v>
      </c>
      <c r="Q398" s="30">
        <f t="shared" si="32"/>
        <v>78.260000000000005</v>
      </c>
      <c r="R398" s="30">
        <f t="shared" si="33"/>
        <v>84.83</v>
      </c>
      <c r="S398" s="30">
        <f t="shared" si="34"/>
        <v>71.64</v>
      </c>
    </row>
    <row r="399" spans="1:19" s="5" customFormat="1" ht="15.95" customHeight="1" x14ac:dyDescent="0.25">
      <c r="A399" s="61" t="s">
        <v>93</v>
      </c>
      <c r="B399" s="15" t="s">
        <v>92</v>
      </c>
      <c r="C399" s="55" t="s">
        <v>2</v>
      </c>
      <c r="D399" s="26" t="s">
        <v>112</v>
      </c>
      <c r="E399" s="36" t="s">
        <v>0</v>
      </c>
      <c r="F399" s="28">
        <v>326360</v>
      </c>
      <c r="G399" s="28">
        <v>165122</v>
      </c>
      <c r="H399" s="28">
        <v>161238</v>
      </c>
      <c r="I399" s="28">
        <v>39134</v>
      </c>
      <c r="J399" s="28">
        <v>20482</v>
      </c>
      <c r="K399" s="28">
        <v>18652</v>
      </c>
      <c r="L399" s="28">
        <v>239631</v>
      </c>
      <c r="M399" s="28">
        <v>128615</v>
      </c>
      <c r="N399" s="28">
        <v>111016</v>
      </c>
      <c r="O399" s="29">
        <f t="shared" si="30"/>
        <v>976</v>
      </c>
      <c r="P399" s="29">
        <f t="shared" si="31"/>
        <v>911</v>
      </c>
      <c r="Q399" s="30">
        <f t="shared" si="32"/>
        <v>83.43</v>
      </c>
      <c r="R399" s="30">
        <f t="shared" si="33"/>
        <v>88.92</v>
      </c>
      <c r="S399" s="30">
        <f t="shared" si="34"/>
        <v>77.86</v>
      </c>
    </row>
    <row r="400" spans="1:19" s="5" customFormat="1" ht="15.95" customHeight="1" x14ac:dyDescent="0.25">
      <c r="A400" s="61" t="s">
        <v>93</v>
      </c>
      <c r="B400" s="15" t="s">
        <v>92</v>
      </c>
      <c r="C400" s="55" t="s">
        <v>101</v>
      </c>
      <c r="D400" s="26" t="s">
        <v>111</v>
      </c>
      <c r="E400" s="36" t="s">
        <v>0</v>
      </c>
      <c r="F400" s="42">
        <v>322428</v>
      </c>
      <c r="G400" s="42">
        <v>161978</v>
      </c>
      <c r="H400" s="42">
        <v>160450</v>
      </c>
      <c r="I400" s="42">
        <v>31626</v>
      </c>
      <c r="J400" s="42">
        <v>16130</v>
      </c>
      <c r="K400" s="42">
        <v>15496</v>
      </c>
      <c r="L400" s="42">
        <v>255971</v>
      </c>
      <c r="M400" s="42">
        <v>133191</v>
      </c>
      <c r="N400" s="42">
        <v>122780</v>
      </c>
      <c r="O400" s="29">
        <f t="shared" si="30"/>
        <v>991</v>
      </c>
      <c r="P400" s="29">
        <f t="shared" si="31"/>
        <v>961</v>
      </c>
      <c r="Q400" s="30">
        <f t="shared" si="32"/>
        <v>88.02</v>
      </c>
      <c r="R400" s="30">
        <f t="shared" si="33"/>
        <v>91.32</v>
      </c>
      <c r="S400" s="30">
        <f t="shared" si="34"/>
        <v>84.7</v>
      </c>
    </row>
    <row r="401" spans="1:19" s="5" customFormat="1" ht="15.95" customHeight="1" x14ac:dyDescent="0.25">
      <c r="A401" s="61" t="s">
        <v>93</v>
      </c>
      <c r="B401" s="15" t="s">
        <v>92</v>
      </c>
      <c r="C401" s="55" t="s">
        <v>11</v>
      </c>
      <c r="D401" s="26" t="s">
        <v>110</v>
      </c>
      <c r="E401" s="36" t="s">
        <v>0</v>
      </c>
      <c r="F401" s="28">
        <v>305821</v>
      </c>
      <c r="G401" s="28">
        <v>155406</v>
      </c>
      <c r="H401" s="28">
        <v>150415</v>
      </c>
      <c r="I401" s="28">
        <v>29655</v>
      </c>
      <c r="J401" s="28">
        <v>15233</v>
      </c>
      <c r="K401" s="28">
        <v>14422</v>
      </c>
      <c r="L401" s="28">
        <v>237424</v>
      </c>
      <c r="M401" s="28">
        <v>123904</v>
      </c>
      <c r="N401" s="28">
        <v>113520</v>
      </c>
      <c r="O401" s="29">
        <f t="shared" si="30"/>
        <v>968</v>
      </c>
      <c r="P401" s="29">
        <f t="shared" si="31"/>
        <v>947</v>
      </c>
      <c r="Q401" s="30">
        <f t="shared" si="32"/>
        <v>85.97</v>
      </c>
      <c r="R401" s="30">
        <f t="shared" si="33"/>
        <v>88.39</v>
      </c>
      <c r="S401" s="30">
        <f t="shared" si="34"/>
        <v>83.47</v>
      </c>
    </row>
    <row r="402" spans="1:19" s="5" customFormat="1" ht="15.95" customHeight="1" x14ac:dyDescent="0.25">
      <c r="A402" s="61" t="s">
        <v>93</v>
      </c>
      <c r="B402" s="15" t="s">
        <v>92</v>
      </c>
      <c r="C402" s="55" t="s">
        <v>25</v>
      </c>
      <c r="D402" s="26" t="s">
        <v>109</v>
      </c>
      <c r="E402" s="36" t="s">
        <v>0</v>
      </c>
      <c r="F402" s="28">
        <v>232456</v>
      </c>
      <c r="G402" s="28">
        <v>117408</v>
      </c>
      <c r="H402" s="28">
        <v>115048</v>
      </c>
      <c r="I402" s="28">
        <v>27924</v>
      </c>
      <c r="J402" s="28">
        <v>14286</v>
      </c>
      <c r="K402" s="28">
        <v>13638</v>
      </c>
      <c r="L402" s="28">
        <v>158452</v>
      </c>
      <c r="M402" s="28">
        <v>86973</v>
      </c>
      <c r="N402" s="28">
        <v>71479</v>
      </c>
      <c r="O402" s="29">
        <f t="shared" si="30"/>
        <v>980</v>
      </c>
      <c r="P402" s="29">
        <f t="shared" si="31"/>
        <v>955</v>
      </c>
      <c r="Q402" s="30">
        <f t="shared" si="32"/>
        <v>77.47</v>
      </c>
      <c r="R402" s="30">
        <f t="shared" si="33"/>
        <v>84.34</v>
      </c>
      <c r="S402" s="30">
        <f t="shared" si="34"/>
        <v>70.489999999999995</v>
      </c>
    </row>
    <row r="403" spans="1:19" s="5" customFormat="1" ht="15.95" customHeight="1" x14ac:dyDescent="0.25">
      <c r="A403" s="61" t="s">
        <v>93</v>
      </c>
      <c r="B403" s="15" t="s">
        <v>92</v>
      </c>
      <c r="C403" s="55" t="s">
        <v>15</v>
      </c>
      <c r="D403" s="26" t="s">
        <v>108</v>
      </c>
      <c r="E403" s="27" t="s">
        <v>5</v>
      </c>
      <c r="F403" s="28">
        <v>213593</v>
      </c>
      <c r="G403" s="28">
        <v>110279</v>
      </c>
      <c r="H403" s="28">
        <v>103314</v>
      </c>
      <c r="I403" s="28">
        <v>25275</v>
      </c>
      <c r="J403" s="28">
        <v>13189</v>
      </c>
      <c r="K403" s="28">
        <v>12086</v>
      </c>
      <c r="L403" s="28">
        <v>164857</v>
      </c>
      <c r="M403" s="28">
        <v>90100</v>
      </c>
      <c r="N403" s="28">
        <v>74757</v>
      </c>
      <c r="O403" s="29">
        <f t="shared" si="30"/>
        <v>937</v>
      </c>
      <c r="P403" s="29">
        <f t="shared" si="31"/>
        <v>916</v>
      </c>
      <c r="Q403" s="30">
        <f t="shared" si="32"/>
        <v>87.54</v>
      </c>
      <c r="R403" s="30">
        <f t="shared" si="33"/>
        <v>92.8</v>
      </c>
      <c r="S403" s="30">
        <f t="shared" si="34"/>
        <v>81.95</v>
      </c>
    </row>
    <row r="404" spans="1:19" s="5" customFormat="1" ht="15.95" customHeight="1" x14ac:dyDescent="0.25">
      <c r="A404" s="61" t="s">
        <v>93</v>
      </c>
      <c r="B404" s="15" t="s">
        <v>92</v>
      </c>
      <c r="C404" s="55" t="s">
        <v>48</v>
      </c>
      <c r="D404" s="26" t="s">
        <v>107</v>
      </c>
      <c r="E404" s="36" t="s">
        <v>0</v>
      </c>
      <c r="F404" s="28">
        <v>206159</v>
      </c>
      <c r="G404" s="28">
        <v>102923</v>
      </c>
      <c r="H404" s="28">
        <v>103236</v>
      </c>
      <c r="I404" s="28">
        <v>26478</v>
      </c>
      <c r="J404" s="28">
        <v>13508</v>
      </c>
      <c r="K404" s="28">
        <v>12970</v>
      </c>
      <c r="L404" s="28">
        <v>143776</v>
      </c>
      <c r="M404" s="28">
        <v>77678</v>
      </c>
      <c r="N404" s="28">
        <v>66098</v>
      </c>
      <c r="O404" s="29">
        <f t="shared" si="30"/>
        <v>1003</v>
      </c>
      <c r="P404" s="29">
        <f t="shared" si="31"/>
        <v>960</v>
      </c>
      <c r="Q404" s="30">
        <f t="shared" si="32"/>
        <v>80.02</v>
      </c>
      <c r="R404" s="30">
        <f t="shared" si="33"/>
        <v>86.87</v>
      </c>
      <c r="S404" s="30">
        <f t="shared" si="34"/>
        <v>73.23</v>
      </c>
    </row>
    <row r="405" spans="1:19" s="5" customFormat="1" ht="15.95" customHeight="1" x14ac:dyDescent="0.25">
      <c r="A405" s="61" t="s">
        <v>93</v>
      </c>
      <c r="B405" s="15" t="s">
        <v>92</v>
      </c>
      <c r="C405" s="55" t="s">
        <v>18</v>
      </c>
      <c r="D405" s="41" t="s">
        <v>106</v>
      </c>
      <c r="E405" s="27" t="s">
        <v>5</v>
      </c>
      <c r="F405" s="28">
        <v>173134</v>
      </c>
      <c r="G405" s="28">
        <v>86335</v>
      </c>
      <c r="H405" s="28">
        <v>86799</v>
      </c>
      <c r="I405" s="28">
        <v>16283</v>
      </c>
      <c r="J405" s="28">
        <v>8388</v>
      </c>
      <c r="K405" s="28">
        <v>7895</v>
      </c>
      <c r="L405" s="28">
        <v>141921</v>
      </c>
      <c r="M405" s="28">
        <v>72627</v>
      </c>
      <c r="N405" s="28">
        <v>69294</v>
      </c>
      <c r="O405" s="29">
        <f t="shared" si="30"/>
        <v>1005</v>
      </c>
      <c r="P405" s="29">
        <f t="shared" si="31"/>
        <v>941</v>
      </c>
      <c r="Q405" s="30">
        <f t="shared" si="32"/>
        <v>90.48</v>
      </c>
      <c r="R405" s="30">
        <f t="shared" si="33"/>
        <v>93.17</v>
      </c>
      <c r="S405" s="30">
        <f t="shared" si="34"/>
        <v>87.82</v>
      </c>
    </row>
    <row r="406" spans="1:19" s="5" customFormat="1" ht="15.95" customHeight="1" x14ac:dyDescent="0.25">
      <c r="A406" s="61" t="s">
        <v>93</v>
      </c>
      <c r="B406" s="15" t="s">
        <v>92</v>
      </c>
      <c r="C406" s="55" t="s">
        <v>57</v>
      </c>
      <c r="D406" s="26" t="s">
        <v>105</v>
      </c>
      <c r="E406" s="36" t="s">
        <v>0</v>
      </c>
      <c r="F406" s="28">
        <v>172813</v>
      </c>
      <c r="G406" s="28">
        <v>86165</v>
      </c>
      <c r="H406" s="28">
        <v>86648</v>
      </c>
      <c r="I406" s="28">
        <v>18419</v>
      </c>
      <c r="J406" s="28">
        <v>9519</v>
      </c>
      <c r="K406" s="28">
        <v>8900</v>
      </c>
      <c r="L406" s="28">
        <v>132094</v>
      </c>
      <c r="M406" s="28">
        <v>70035</v>
      </c>
      <c r="N406" s="28">
        <v>62059</v>
      </c>
      <c r="O406" s="29">
        <f t="shared" si="30"/>
        <v>1006</v>
      </c>
      <c r="P406" s="29">
        <f t="shared" si="31"/>
        <v>935</v>
      </c>
      <c r="Q406" s="30">
        <f t="shared" si="32"/>
        <v>85.56</v>
      </c>
      <c r="R406" s="30">
        <f t="shared" si="33"/>
        <v>91.37</v>
      </c>
      <c r="S406" s="30">
        <f t="shared" si="34"/>
        <v>79.819999999999993</v>
      </c>
    </row>
    <row r="407" spans="1:19" s="5" customFormat="1" ht="15.95" customHeight="1" x14ac:dyDescent="0.25">
      <c r="A407" s="61" t="s">
        <v>93</v>
      </c>
      <c r="B407" s="15" t="s">
        <v>92</v>
      </c>
      <c r="C407" s="55" t="s">
        <v>53</v>
      </c>
      <c r="D407" s="41" t="s">
        <v>104</v>
      </c>
      <c r="E407" s="27" t="s">
        <v>5</v>
      </c>
      <c r="F407" s="28">
        <v>165463</v>
      </c>
      <c r="G407" s="28">
        <v>81927</v>
      </c>
      <c r="H407" s="28">
        <v>83536</v>
      </c>
      <c r="I407" s="28">
        <v>14966</v>
      </c>
      <c r="J407" s="28">
        <v>7480</v>
      </c>
      <c r="K407" s="28">
        <v>7486</v>
      </c>
      <c r="L407" s="28">
        <v>134734</v>
      </c>
      <c r="M407" s="28">
        <v>69400</v>
      </c>
      <c r="N407" s="28">
        <v>65334</v>
      </c>
      <c r="O407" s="29">
        <f t="shared" si="30"/>
        <v>1020</v>
      </c>
      <c r="P407" s="29">
        <f t="shared" si="31"/>
        <v>1001</v>
      </c>
      <c r="Q407" s="30">
        <f t="shared" si="32"/>
        <v>89.53</v>
      </c>
      <c r="R407" s="30">
        <f t="shared" si="33"/>
        <v>93.22</v>
      </c>
      <c r="S407" s="30">
        <f t="shared" si="34"/>
        <v>85.91</v>
      </c>
    </row>
    <row r="408" spans="1:19" s="5" customFormat="1" ht="15.95" customHeight="1" x14ac:dyDescent="0.25">
      <c r="A408" s="61" t="s">
        <v>93</v>
      </c>
      <c r="B408" s="15" t="s">
        <v>92</v>
      </c>
      <c r="C408" s="55" t="s">
        <v>103</v>
      </c>
      <c r="D408" s="26" t="s">
        <v>102</v>
      </c>
      <c r="E408" s="27" t="s">
        <v>5</v>
      </c>
      <c r="F408" s="28">
        <v>165401</v>
      </c>
      <c r="G408" s="28">
        <v>81940</v>
      </c>
      <c r="H408" s="28">
        <v>83461</v>
      </c>
      <c r="I408" s="28">
        <v>13408</v>
      </c>
      <c r="J408" s="28">
        <v>6944</v>
      </c>
      <c r="K408" s="28">
        <v>6464</v>
      </c>
      <c r="L408" s="28">
        <v>142143</v>
      </c>
      <c r="M408" s="28">
        <v>72244</v>
      </c>
      <c r="N408" s="28">
        <v>69899</v>
      </c>
      <c r="O408" s="29">
        <f t="shared" si="30"/>
        <v>1019</v>
      </c>
      <c r="P408" s="29">
        <f t="shared" si="31"/>
        <v>931</v>
      </c>
      <c r="Q408" s="30">
        <f t="shared" si="32"/>
        <v>93.52</v>
      </c>
      <c r="R408" s="30">
        <f t="shared" si="33"/>
        <v>96.33</v>
      </c>
      <c r="S408" s="30">
        <f t="shared" si="34"/>
        <v>90.78</v>
      </c>
    </row>
    <row r="409" spans="1:19" s="5" customFormat="1" ht="15.95" customHeight="1" x14ac:dyDescent="0.25">
      <c r="A409" s="61" t="s">
        <v>93</v>
      </c>
      <c r="B409" s="15" t="s">
        <v>92</v>
      </c>
      <c r="C409" s="55" t="s">
        <v>101</v>
      </c>
      <c r="D409" s="26" t="s">
        <v>100</v>
      </c>
      <c r="E409" s="36" t="s">
        <v>0</v>
      </c>
      <c r="F409" s="42">
        <v>150776</v>
      </c>
      <c r="G409" s="42">
        <v>75020</v>
      </c>
      <c r="H409" s="42">
        <v>75756</v>
      </c>
      <c r="I409" s="42">
        <v>14000</v>
      </c>
      <c r="J409" s="42">
        <v>7087</v>
      </c>
      <c r="K409" s="42">
        <v>6913</v>
      </c>
      <c r="L409" s="42">
        <v>118446</v>
      </c>
      <c r="M409" s="42">
        <v>62199</v>
      </c>
      <c r="N409" s="42">
        <v>56247</v>
      </c>
      <c r="O409" s="29">
        <f t="shared" si="30"/>
        <v>1010</v>
      </c>
      <c r="P409" s="29">
        <f t="shared" si="31"/>
        <v>975</v>
      </c>
      <c r="Q409" s="30">
        <f t="shared" si="32"/>
        <v>86.6</v>
      </c>
      <c r="R409" s="30">
        <f t="shared" si="33"/>
        <v>91.56</v>
      </c>
      <c r="S409" s="30">
        <f t="shared" si="34"/>
        <v>81.7</v>
      </c>
    </row>
    <row r="410" spans="1:19" s="5" customFormat="1" ht="15.95" customHeight="1" x14ac:dyDescent="0.25">
      <c r="A410" s="61" t="s">
        <v>93</v>
      </c>
      <c r="B410" s="15" t="s">
        <v>92</v>
      </c>
      <c r="C410" s="55" t="s">
        <v>43</v>
      </c>
      <c r="D410" s="26" t="s">
        <v>99</v>
      </c>
      <c r="E410" s="27" t="s">
        <v>5</v>
      </c>
      <c r="F410" s="28">
        <v>145580</v>
      </c>
      <c r="G410" s="28">
        <v>73193</v>
      </c>
      <c r="H410" s="28">
        <v>72387</v>
      </c>
      <c r="I410" s="28">
        <v>14843</v>
      </c>
      <c r="J410" s="28">
        <v>7623</v>
      </c>
      <c r="K410" s="28">
        <v>7220</v>
      </c>
      <c r="L410" s="28">
        <v>116102</v>
      </c>
      <c r="M410" s="28">
        <v>60714</v>
      </c>
      <c r="N410" s="28">
        <v>55388</v>
      </c>
      <c r="O410" s="29">
        <f t="shared" si="30"/>
        <v>989</v>
      </c>
      <c r="P410" s="29">
        <f t="shared" si="31"/>
        <v>947</v>
      </c>
      <c r="Q410" s="30">
        <f t="shared" si="32"/>
        <v>88.81</v>
      </c>
      <c r="R410" s="30">
        <f t="shared" si="33"/>
        <v>92.59</v>
      </c>
      <c r="S410" s="30">
        <f t="shared" si="34"/>
        <v>84.99</v>
      </c>
    </row>
    <row r="411" spans="1:19" s="5" customFormat="1" ht="15.95" customHeight="1" x14ac:dyDescent="0.25">
      <c r="A411" s="61" t="s">
        <v>93</v>
      </c>
      <c r="B411" s="15" t="s">
        <v>92</v>
      </c>
      <c r="C411" s="55" t="s">
        <v>53</v>
      </c>
      <c r="D411" s="41" t="s">
        <v>98</v>
      </c>
      <c r="E411" s="36" t="s">
        <v>0</v>
      </c>
      <c r="F411" s="85">
        <v>138553</v>
      </c>
      <c r="G411" s="85">
        <v>70064</v>
      </c>
      <c r="H411" s="85">
        <v>68489</v>
      </c>
      <c r="I411" s="85">
        <v>15993</v>
      </c>
      <c r="J411" s="85">
        <v>8055</v>
      </c>
      <c r="K411" s="85">
        <v>7938</v>
      </c>
      <c r="L411" s="85">
        <v>102978</v>
      </c>
      <c r="M411" s="85">
        <v>54121</v>
      </c>
      <c r="N411" s="85">
        <v>48857</v>
      </c>
      <c r="O411" s="29">
        <f t="shared" si="30"/>
        <v>978</v>
      </c>
      <c r="P411" s="29">
        <f t="shared" si="31"/>
        <v>985</v>
      </c>
      <c r="Q411" s="30">
        <f t="shared" si="32"/>
        <v>84.02</v>
      </c>
      <c r="R411" s="30">
        <f t="shared" si="33"/>
        <v>87.28</v>
      </c>
      <c r="S411" s="30">
        <f t="shared" si="34"/>
        <v>80.69</v>
      </c>
    </row>
    <row r="412" spans="1:19" s="5" customFormat="1" ht="15.95" customHeight="1" x14ac:dyDescent="0.25">
      <c r="A412" s="61" t="s">
        <v>93</v>
      </c>
      <c r="B412" s="15" t="s">
        <v>92</v>
      </c>
      <c r="C412" s="55" t="s">
        <v>27</v>
      </c>
      <c r="D412" s="41" t="s">
        <v>97</v>
      </c>
      <c r="E412" s="36" t="s">
        <v>0</v>
      </c>
      <c r="F412" s="28">
        <v>137735</v>
      </c>
      <c r="G412" s="28">
        <v>68748</v>
      </c>
      <c r="H412" s="28">
        <v>68987</v>
      </c>
      <c r="I412" s="28">
        <v>13269</v>
      </c>
      <c r="J412" s="28">
        <v>6826</v>
      </c>
      <c r="K412" s="28">
        <v>6443</v>
      </c>
      <c r="L412" s="28">
        <v>105938</v>
      </c>
      <c r="M412" s="28">
        <v>55442</v>
      </c>
      <c r="N412" s="28">
        <v>50496</v>
      </c>
      <c r="O412" s="29">
        <f t="shared" si="30"/>
        <v>1003</v>
      </c>
      <c r="P412" s="29">
        <f t="shared" si="31"/>
        <v>944</v>
      </c>
      <c r="Q412" s="30">
        <f t="shared" si="32"/>
        <v>85.11</v>
      </c>
      <c r="R412" s="30">
        <f t="shared" si="33"/>
        <v>89.54</v>
      </c>
      <c r="S412" s="30">
        <f t="shared" si="34"/>
        <v>80.739999999999995</v>
      </c>
    </row>
    <row r="413" spans="1:19" s="5" customFormat="1" ht="15.95" customHeight="1" x14ac:dyDescent="0.25">
      <c r="A413" s="61" t="s">
        <v>93</v>
      </c>
      <c r="B413" s="15" t="s">
        <v>92</v>
      </c>
      <c r="C413" s="55" t="s">
        <v>29</v>
      </c>
      <c r="D413" s="26" t="s">
        <v>96</v>
      </c>
      <c r="E413" s="36" t="s">
        <v>0</v>
      </c>
      <c r="F413" s="86">
        <v>118496</v>
      </c>
      <c r="G413" s="86">
        <v>58859</v>
      </c>
      <c r="H413" s="86">
        <v>59637</v>
      </c>
      <c r="I413" s="86">
        <v>10931</v>
      </c>
      <c r="J413" s="86">
        <v>5599</v>
      </c>
      <c r="K413" s="86">
        <v>5332</v>
      </c>
      <c r="L413" s="86">
        <v>96586</v>
      </c>
      <c r="M413" s="86">
        <v>49742</v>
      </c>
      <c r="N413" s="86">
        <v>46844</v>
      </c>
      <c r="O413" s="29">
        <f t="shared" si="30"/>
        <v>1013</v>
      </c>
      <c r="P413" s="29">
        <f t="shared" si="31"/>
        <v>952</v>
      </c>
      <c r="Q413" s="30">
        <f t="shared" si="32"/>
        <v>89.79</v>
      </c>
      <c r="R413" s="30">
        <f t="shared" si="33"/>
        <v>93.39</v>
      </c>
      <c r="S413" s="30">
        <f t="shared" si="34"/>
        <v>86.26</v>
      </c>
    </row>
    <row r="414" spans="1:19" s="5" customFormat="1" ht="15.95" customHeight="1" x14ac:dyDescent="0.25">
      <c r="A414" s="61" t="s">
        <v>93</v>
      </c>
      <c r="B414" s="15" t="s">
        <v>92</v>
      </c>
      <c r="C414" s="55" t="s">
        <v>74</v>
      </c>
      <c r="D414" s="26" t="s">
        <v>95</v>
      </c>
      <c r="E414" s="27" t="s">
        <v>5</v>
      </c>
      <c r="F414" s="28">
        <v>114459</v>
      </c>
      <c r="G414" s="28">
        <v>57228</v>
      </c>
      <c r="H414" s="28">
        <v>57231</v>
      </c>
      <c r="I414" s="28">
        <v>14251</v>
      </c>
      <c r="J414" s="28">
        <v>7281</v>
      </c>
      <c r="K414" s="28">
        <v>6970</v>
      </c>
      <c r="L414" s="28">
        <v>76473</v>
      </c>
      <c r="M414" s="28">
        <v>42315</v>
      </c>
      <c r="N414" s="28">
        <v>34158</v>
      </c>
      <c r="O414" s="29">
        <f t="shared" si="30"/>
        <v>1000</v>
      </c>
      <c r="P414" s="29">
        <f t="shared" si="31"/>
        <v>957</v>
      </c>
      <c r="Q414" s="30">
        <f t="shared" si="32"/>
        <v>76.31</v>
      </c>
      <c r="R414" s="30">
        <f t="shared" si="33"/>
        <v>84.72</v>
      </c>
      <c r="S414" s="30">
        <f t="shared" si="34"/>
        <v>67.959999999999994</v>
      </c>
    </row>
    <row r="415" spans="1:19" s="5" customFormat="1" ht="15.95" customHeight="1" x14ac:dyDescent="0.25">
      <c r="A415" s="61" t="s">
        <v>93</v>
      </c>
      <c r="B415" s="15" t="s">
        <v>92</v>
      </c>
      <c r="C415" s="55" t="s">
        <v>7</v>
      </c>
      <c r="D415" s="26" t="s">
        <v>94</v>
      </c>
      <c r="E415" s="36" t="s">
        <v>0</v>
      </c>
      <c r="F415" s="42">
        <v>112068</v>
      </c>
      <c r="G415" s="42">
        <v>56837</v>
      </c>
      <c r="H415" s="42">
        <v>55231</v>
      </c>
      <c r="I415" s="42">
        <v>12399</v>
      </c>
      <c r="J415" s="42">
        <v>6476</v>
      </c>
      <c r="K415" s="42">
        <v>5923</v>
      </c>
      <c r="L415" s="42">
        <v>85860</v>
      </c>
      <c r="M415" s="42">
        <v>46623</v>
      </c>
      <c r="N415" s="42">
        <v>39237</v>
      </c>
      <c r="O415" s="29">
        <f t="shared" si="30"/>
        <v>972</v>
      </c>
      <c r="P415" s="29">
        <f t="shared" si="31"/>
        <v>915</v>
      </c>
      <c r="Q415" s="30">
        <f t="shared" si="32"/>
        <v>86.15</v>
      </c>
      <c r="R415" s="30">
        <f t="shared" si="33"/>
        <v>92.58</v>
      </c>
      <c r="S415" s="30">
        <f t="shared" si="34"/>
        <v>79.58</v>
      </c>
    </row>
    <row r="416" spans="1:19" s="5" customFormat="1" ht="15.95" customHeight="1" x14ac:dyDescent="0.25">
      <c r="A416" s="61" t="s">
        <v>93</v>
      </c>
      <c r="B416" s="15" t="s">
        <v>92</v>
      </c>
      <c r="C416" s="55" t="s">
        <v>41</v>
      </c>
      <c r="D416" s="26" t="s">
        <v>91</v>
      </c>
      <c r="E416" s="36" t="s">
        <v>0</v>
      </c>
      <c r="F416" s="28">
        <v>106365</v>
      </c>
      <c r="G416" s="28">
        <v>53933</v>
      </c>
      <c r="H416" s="28">
        <v>52432</v>
      </c>
      <c r="I416" s="28">
        <v>11572</v>
      </c>
      <c r="J416" s="28">
        <v>5982</v>
      </c>
      <c r="K416" s="28">
        <v>5590</v>
      </c>
      <c r="L416" s="28">
        <v>85298</v>
      </c>
      <c r="M416" s="28">
        <v>43234</v>
      </c>
      <c r="N416" s="28">
        <v>42064</v>
      </c>
      <c r="O416" s="29">
        <f t="shared" si="30"/>
        <v>972</v>
      </c>
      <c r="P416" s="29">
        <f t="shared" si="31"/>
        <v>934</v>
      </c>
      <c r="Q416" s="30">
        <f t="shared" si="32"/>
        <v>89.98</v>
      </c>
      <c r="R416" s="30">
        <f t="shared" si="33"/>
        <v>90.16</v>
      </c>
      <c r="S416" s="30">
        <f t="shared" si="34"/>
        <v>89.8</v>
      </c>
    </row>
    <row r="417" spans="1:19" s="5" customFormat="1" ht="15.95" customHeight="1" x14ac:dyDescent="0.25">
      <c r="A417" s="61" t="s">
        <v>39</v>
      </c>
      <c r="B417" s="18" t="s">
        <v>88</v>
      </c>
      <c r="C417" s="39" t="s">
        <v>71</v>
      </c>
      <c r="D417" s="41" t="s">
        <v>90</v>
      </c>
      <c r="E417" s="27" t="s">
        <v>5</v>
      </c>
      <c r="F417" s="28">
        <v>114405</v>
      </c>
      <c r="G417" s="28">
        <v>59379</v>
      </c>
      <c r="H417" s="28">
        <v>55026</v>
      </c>
      <c r="I417" s="28">
        <v>10996</v>
      </c>
      <c r="J417" s="28">
        <v>6057</v>
      </c>
      <c r="K417" s="28">
        <v>4939</v>
      </c>
      <c r="L417" s="28">
        <v>93995</v>
      </c>
      <c r="M417" s="28">
        <v>50447</v>
      </c>
      <c r="N417" s="28">
        <v>43548</v>
      </c>
      <c r="O417" s="29">
        <f t="shared" si="30"/>
        <v>927</v>
      </c>
      <c r="P417" s="29">
        <f t="shared" si="31"/>
        <v>815</v>
      </c>
      <c r="Q417" s="30">
        <f t="shared" si="32"/>
        <v>90.9</v>
      </c>
      <c r="R417" s="30">
        <f t="shared" si="33"/>
        <v>94.61</v>
      </c>
      <c r="S417" s="30">
        <f t="shared" si="34"/>
        <v>86.94</v>
      </c>
    </row>
    <row r="418" spans="1:19" s="5" customFormat="1" ht="15.95" customHeight="1" x14ac:dyDescent="0.25">
      <c r="A418" s="61" t="s">
        <v>39</v>
      </c>
      <c r="B418" s="18" t="s">
        <v>88</v>
      </c>
      <c r="C418" s="39" t="s">
        <v>7</v>
      </c>
      <c r="D418" s="41" t="s">
        <v>89</v>
      </c>
      <c r="E418" s="27" t="s">
        <v>5</v>
      </c>
      <c r="F418" s="28">
        <v>106528</v>
      </c>
      <c r="G418" s="28">
        <v>54720</v>
      </c>
      <c r="H418" s="28">
        <v>51808</v>
      </c>
      <c r="I418" s="28">
        <v>10393</v>
      </c>
      <c r="J418" s="28">
        <v>5327</v>
      </c>
      <c r="K418" s="28">
        <v>5066</v>
      </c>
      <c r="L418" s="28">
        <v>86538</v>
      </c>
      <c r="M418" s="28">
        <v>45967</v>
      </c>
      <c r="N418" s="28">
        <v>40571</v>
      </c>
      <c r="O418" s="29">
        <f t="shared" si="30"/>
        <v>947</v>
      </c>
      <c r="P418" s="29">
        <f t="shared" si="31"/>
        <v>951</v>
      </c>
      <c r="Q418" s="30">
        <f t="shared" si="32"/>
        <v>90.02</v>
      </c>
      <c r="R418" s="30">
        <f t="shared" si="33"/>
        <v>93.06</v>
      </c>
      <c r="S418" s="30">
        <f t="shared" si="34"/>
        <v>86.8</v>
      </c>
    </row>
    <row r="419" spans="1:19" s="5" customFormat="1" ht="15.95" customHeight="1" x14ac:dyDescent="0.25">
      <c r="A419" s="61" t="s">
        <v>39</v>
      </c>
      <c r="B419" s="18" t="s">
        <v>88</v>
      </c>
      <c r="C419" s="39" t="s">
        <v>7</v>
      </c>
      <c r="D419" s="41" t="s">
        <v>87</v>
      </c>
      <c r="E419" s="27" t="s">
        <v>5</v>
      </c>
      <c r="F419" s="28">
        <v>101068</v>
      </c>
      <c r="G419" s="28">
        <v>53585</v>
      </c>
      <c r="H419" s="28">
        <v>47483</v>
      </c>
      <c r="I419" s="28">
        <v>10293</v>
      </c>
      <c r="J419" s="28">
        <v>5507</v>
      </c>
      <c r="K419" s="28">
        <v>4786</v>
      </c>
      <c r="L419" s="28">
        <v>81733</v>
      </c>
      <c r="M419" s="28">
        <v>45422</v>
      </c>
      <c r="N419" s="28">
        <v>36311</v>
      </c>
      <c r="O419" s="29">
        <f t="shared" si="30"/>
        <v>886</v>
      </c>
      <c r="P419" s="29">
        <f t="shared" si="31"/>
        <v>869</v>
      </c>
      <c r="Q419" s="30">
        <f t="shared" si="32"/>
        <v>90.04</v>
      </c>
      <c r="R419" s="30">
        <f t="shared" si="33"/>
        <v>94.48</v>
      </c>
      <c r="S419" s="30">
        <f t="shared" si="34"/>
        <v>85.04</v>
      </c>
    </row>
    <row r="420" spans="1:19" s="5" customFormat="1" ht="15.95" customHeight="1" x14ac:dyDescent="0.25">
      <c r="A420" s="65" t="s">
        <v>67</v>
      </c>
      <c r="B420" s="15" t="s">
        <v>66</v>
      </c>
      <c r="C420" s="40" t="s">
        <v>34</v>
      </c>
      <c r="D420" s="26" t="s">
        <v>86</v>
      </c>
      <c r="E420" s="27" t="s">
        <v>5</v>
      </c>
      <c r="F420" s="28">
        <v>2117990</v>
      </c>
      <c r="G420" s="28">
        <v>1042809</v>
      </c>
      <c r="H420" s="28">
        <v>1075181</v>
      </c>
      <c r="I420" s="28">
        <v>189586</v>
      </c>
      <c r="J420" s="28">
        <v>96960</v>
      </c>
      <c r="K420" s="28">
        <v>92626</v>
      </c>
      <c r="L420" s="28">
        <v>1858505</v>
      </c>
      <c r="M420" s="28">
        <v>924453</v>
      </c>
      <c r="N420" s="28">
        <v>934052</v>
      </c>
      <c r="O420" s="29">
        <f t="shared" si="30"/>
        <v>1031</v>
      </c>
      <c r="P420" s="29">
        <f t="shared" si="31"/>
        <v>955</v>
      </c>
      <c r="Q420" s="30">
        <f t="shared" si="32"/>
        <v>96.38</v>
      </c>
      <c r="R420" s="30">
        <f t="shared" si="33"/>
        <v>97.74</v>
      </c>
      <c r="S420" s="30">
        <f t="shared" si="34"/>
        <v>95.06</v>
      </c>
    </row>
    <row r="421" spans="1:19" s="5" customFormat="1" ht="15.95" customHeight="1" x14ac:dyDescent="0.25">
      <c r="A421" s="65" t="s">
        <v>67</v>
      </c>
      <c r="B421" s="15" t="s">
        <v>66</v>
      </c>
      <c r="C421" s="40" t="s">
        <v>15</v>
      </c>
      <c r="D421" s="26" t="s">
        <v>85</v>
      </c>
      <c r="E421" s="27" t="s">
        <v>5</v>
      </c>
      <c r="F421" s="28">
        <v>2030519</v>
      </c>
      <c r="G421" s="28">
        <v>966138</v>
      </c>
      <c r="H421" s="28">
        <v>1064381</v>
      </c>
      <c r="I421" s="28">
        <v>208665</v>
      </c>
      <c r="J421" s="28">
        <v>106289</v>
      </c>
      <c r="K421" s="28">
        <v>102376</v>
      </c>
      <c r="L421" s="28">
        <v>1739745</v>
      </c>
      <c r="M421" s="28">
        <v>839616</v>
      </c>
      <c r="N421" s="28">
        <v>900129</v>
      </c>
      <c r="O421" s="29">
        <f t="shared" si="30"/>
        <v>1102</v>
      </c>
      <c r="P421" s="29">
        <f t="shared" si="31"/>
        <v>963</v>
      </c>
      <c r="Q421" s="30">
        <f t="shared" si="32"/>
        <v>95.49</v>
      </c>
      <c r="R421" s="30">
        <f t="shared" si="33"/>
        <v>97.65</v>
      </c>
      <c r="S421" s="30">
        <f t="shared" si="34"/>
        <v>93.57</v>
      </c>
    </row>
    <row r="422" spans="1:19" s="5" customFormat="1" ht="15.95" customHeight="1" x14ac:dyDescent="0.25">
      <c r="A422" s="65" t="s">
        <v>67</v>
      </c>
      <c r="B422" s="15" t="s">
        <v>66</v>
      </c>
      <c r="C422" s="40" t="s">
        <v>57</v>
      </c>
      <c r="D422" s="26" t="s">
        <v>84</v>
      </c>
      <c r="E422" s="27" t="s">
        <v>5</v>
      </c>
      <c r="F422" s="28">
        <v>1854783</v>
      </c>
      <c r="G422" s="28">
        <v>876049</v>
      </c>
      <c r="H422" s="28">
        <v>978734</v>
      </c>
      <c r="I422" s="28">
        <v>170591</v>
      </c>
      <c r="J422" s="28">
        <v>87747</v>
      </c>
      <c r="K422" s="28">
        <v>82844</v>
      </c>
      <c r="L422" s="28">
        <v>1620100</v>
      </c>
      <c r="M422" s="28">
        <v>769142</v>
      </c>
      <c r="N422" s="28">
        <v>850958</v>
      </c>
      <c r="O422" s="29">
        <f t="shared" si="30"/>
        <v>1117</v>
      </c>
      <c r="P422" s="29">
        <f t="shared" si="31"/>
        <v>944</v>
      </c>
      <c r="Q422" s="30">
        <f t="shared" si="32"/>
        <v>96.19</v>
      </c>
      <c r="R422" s="30">
        <f t="shared" si="33"/>
        <v>97.57</v>
      </c>
      <c r="S422" s="30">
        <f t="shared" si="34"/>
        <v>94.98</v>
      </c>
    </row>
    <row r="423" spans="1:19" s="5" customFormat="1" ht="15.95" customHeight="1" x14ac:dyDescent="0.25">
      <c r="A423" s="65" t="s">
        <v>67</v>
      </c>
      <c r="B423" s="15" t="s">
        <v>66</v>
      </c>
      <c r="C423" s="40" t="s">
        <v>25</v>
      </c>
      <c r="D423" s="32" t="s">
        <v>83</v>
      </c>
      <c r="E423" s="27" t="s">
        <v>5</v>
      </c>
      <c r="F423" s="28">
        <v>1698645</v>
      </c>
      <c r="G423" s="28">
        <v>809154</v>
      </c>
      <c r="H423" s="28">
        <v>889491</v>
      </c>
      <c r="I423" s="28">
        <v>230527</v>
      </c>
      <c r="J423" s="28">
        <v>117782</v>
      </c>
      <c r="K423" s="28">
        <v>112745</v>
      </c>
      <c r="L423" s="28">
        <v>1388426</v>
      </c>
      <c r="M423" s="28">
        <v>668922</v>
      </c>
      <c r="N423" s="28">
        <v>719504</v>
      </c>
      <c r="O423" s="29">
        <f t="shared" si="30"/>
        <v>1099</v>
      </c>
      <c r="P423" s="29">
        <f t="shared" si="31"/>
        <v>957</v>
      </c>
      <c r="Q423" s="30">
        <f t="shared" si="32"/>
        <v>94.57</v>
      </c>
      <c r="R423" s="30">
        <f t="shared" si="33"/>
        <v>96.75</v>
      </c>
      <c r="S423" s="30">
        <f t="shared" si="34"/>
        <v>92.63</v>
      </c>
    </row>
    <row r="424" spans="1:19" s="5" customFormat="1" ht="15.95" customHeight="1" x14ac:dyDescent="0.25">
      <c r="A424" s="65" t="s">
        <v>67</v>
      </c>
      <c r="B424" s="15" t="s">
        <v>66</v>
      </c>
      <c r="C424" s="60">
        <v>14</v>
      </c>
      <c r="D424" s="26" t="s">
        <v>82</v>
      </c>
      <c r="E424" s="27" t="s">
        <v>5</v>
      </c>
      <c r="F424" s="33">
        <v>1687406</v>
      </c>
      <c r="G424" s="33">
        <v>815200</v>
      </c>
      <c r="H424" s="33">
        <v>872206</v>
      </c>
      <c r="I424" s="33">
        <v>142242</v>
      </c>
      <c r="J424" s="33">
        <v>72164</v>
      </c>
      <c r="K424" s="33">
        <v>70078</v>
      </c>
      <c r="L424" s="33">
        <v>1440731</v>
      </c>
      <c r="M424" s="33">
        <v>704926</v>
      </c>
      <c r="N424" s="33">
        <v>735805</v>
      </c>
      <c r="O424" s="29">
        <f t="shared" si="30"/>
        <v>1070</v>
      </c>
      <c r="P424" s="29">
        <f t="shared" si="31"/>
        <v>971</v>
      </c>
      <c r="Q424" s="30">
        <f t="shared" si="32"/>
        <v>93.24</v>
      </c>
      <c r="R424" s="30">
        <f t="shared" si="33"/>
        <v>94.87</v>
      </c>
      <c r="S424" s="30">
        <f t="shared" si="34"/>
        <v>91.73</v>
      </c>
    </row>
    <row r="425" spans="1:19" s="5" customFormat="1" ht="15.95" customHeight="1" x14ac:dyDescent="0.25">
      <c r="A425" s="65" t="s">
        <v>67</v>
      </c>
      <c r="B425" s="15" t="s">
        <v>66</v>
      </c>
      <c r="C425" s="40" t="s">
        <v>7</v>
      </c>
      <c r="D425" s="26" t="s">
        <v>81</v>
      </c>
      <c r="E425" s="27" t="s">
        <v>5</v>
      </c>
      <c r="F425" s="28">
        <v>1642892</v>
      </c>
      <c r="G425" s="28">
        <v>757769</v>
      </c>
      <c r="H425" s="28">
        <v>885123</v>
      </c>
      <c r="I425" s="28">
        <v>172924</v>
      </c>
      <c r="J425" s="28">
        <v>87985</v>
      </c>
      <c r="K425" s="28">
        <v>84939</v>
      </c>
      <c r="L425" s="28">
        <v>1414524</v>
      </c>
      <c r="M425" s="28">
        <v>657217</v>
      </c>
      <c r="N425" s="28">
        <v>757307</v>
      </c>
      <c r="O425" s="29">
        <f t="shared" si="30"/>
        <v>1168</v>
      </c>
      <c r="P425" s="29">
        <f t="shared" si="31"/>
        <v>965</v>
      </c>
      <c r="Q425" s="30">
        <f t="shared" si="32"/>
        <v>96.23</v>
      </c>
      <c r="R425" s="30">
        <f t="shared" si="33"/>
        <v>98.12</v>
      </c>
      <c r="S425" s="30">
        <f t="shared" si="34"/>
        <v>94.64</v>
      </c>
    </row>
    <row r="426" spans="1:19" s="5" customFormat="1" ht="15.95" customHeight="1" x14ac:dyDescent="0.25">
      <c r="A426" s="65" t="s">
        <v>67</v>
      </c>
      <c r="B426" s="15" t="s">
        <v>66</v>
      </c>
      <c r="C426" s="60">
        <v>13</v>
      </c>
      <c r="D426" s="26" t="s">
        <v>80</v>
      </c>
      <c r="E426" s="27" t="s">
        <v>5</v>
      </c>
      <c r="F426" s="33">
        <v>1110005</v>
      </c>
      <c r="G426" s="33">
        <v>529838</v>
      </c>
      <c r="H426" s="33">
        <v>580167</v>
      </c>
      <c r="I426" s="33">
        <v>101361</v>
      </c>
      <c r="J426" s="33">
        <v>51856</v>
      </c>
      <c r="K426" s="33">
        <v>49505</v>
      </c>
      <c r="L426" s="33">
        <v>940840</v>
      </c>
      <c r="M426" s="33">
        <v>455919</v>
      </c>
      <c r="N426" s="33">
        <v>484921</v>
      </c>
      <c r="O426" s="29">
        <f t="shared" si="30"/>
        <v>1095</v>
      </c>
      <c r="P426" s="29">
        <f t="shared" si="31"/>
        <v>955</v>
      </c>
      <c r="Q426" s="30">
        <f t="shared" si="32"/>
        <v>93.28</v>
      </c>
      <c r="R426" s="30">
        <f t="shared" si="33"/>
        <v>95.38</v>
      </c>
      <c r="S426" s="30">
        <f t="shared" si="34"/>
        <v>91.38</v>
      </c>
    </row>
    <row r="427" spans="1:19" s="5" customFormat="1" ht="15.95" customHeight="1" x14ac:dyDescent="0.25">
      <c r="A427" s="65" t="s">
        <v>67</v>
      </c>
      <c r="B427" s="15" t="s">
        <v>66</v>
      </c>
      <c r="C427" s="60">
        <v>11</v>
      </c>
      <c r="D427" s="26" t="s">
        <v>79</v>
      </c>
      <c r="E427" s="27" t="s">
        <v>5</v>
      </c>
      <c r="F427" s="28">
        <v>455408</v>
      </c>
      <c r="G427" s="28">
        <v>222398</v>
      </c>
      <c r="H427" s="28">
        <v>233010</v>
      </c>
      <c r="I427" s="28">
        <v>39179</v>
      </c>
      <c r="J427" s="28">
        <v>20156</v>
      </c>
      <c r="K427" s="28">
        <v>19023</v>
      </c>
      <c r="L427" s="28">
        <v>399809</v>
      </c>
      <c r="M427" s="28">
        <v>198180</v>
      </c>
      <c r="N427" s="28">
        <v>201629</v>
      </c>
      <c r="O427" s="29">
        <f t="shared" si="30"/>
        <v>1048</v>
      </c>
      <c r="P427" s="29">
        <f t="shared" si="31"/>
        <v>944</v>
      </c>
      <c r="Q427" s="30">
        <f t="shared" si="32"/>
        <v>96.06</v>
      </c>
      <c r="R427" s="30">
        <f t="shared" si="33"/>
        <v>97.99</v>
      </c>
      <c r="S427" s="30">
        <f t="shared" si="34"/>
        <v>94.22</v>
      </c>
    </row>
    <row r="428" spans="1:19" s="5" customFormat="1" ht="15.95" customHeight="1" x14ac:dyDescent="0.25">
      <c r="A428" s="65" t="s">
        <v>67</v>
      </c>
      <c r="B428" s="15" t="s">
        <v>66</v>
      </c>
      <c r="C428" s="60">
        <v>11</v>
      </c>
      <c r="D428" s="26" t="s">
        <v>78</v>
      </c>
      <c r="E428" s="27" t="s">
        <v>5</v>
      </c>
      <c r="F428" s="33">
        <v>427091</v>
      </c>
      <c r="G428" s="33">
        <v>197960</v>
      </c>
      <c r="H428" s="33">
        <v>229131</v>
      </c>
      <c r="I428" s="33">
        <v>35039</v>
      </c>
      <c r="J428" s="33">
        <v>18022</v>
      </c>
      <c r="K428" s="33">
        <v>17017</v>
      </c>
      <c r="L428" s="33">
        <v>374043</v>
      </c>
      <c r="M428" s="33">
        <v>174685</v>
      </c>
      <c r="N428" s="33">
        <v>199358</v>
      </c>
      <c r="O428" s="29">
        <f t="shared" si="30"/>
        <v>1157</v>
      </c>
      <c r="P428" s="29">
        <f t="shared" si="31"/>
        <v>944</v>
      </c>
      <c r="Q428" s="30">
        <f t="shared" si="32"/>
        <v>95.41</v>
      </c>
      <c r="R428" s="30">
        <f t="shared" si="33"/>
        <v>97.08</v>
      </c>
      <c r="S428" s="30">
        <f t="shared" si="34"/>
        <v>93.99</v>
      </c>
    </row>
    <row r="429" spans="1:19" s="5" customFormat="1" ht="15.95" customHeight="1" x14ac:dyDescent="0.25">
      <c r="A429" s="65" t="s">
        <v>67</v>
      </c>
      <c r="B429" s="15" t="s">
        <v>66</v>
      </c>
      <c r="C429" s="60">
        <v>10</v>
      </c>
      <c r="D429" s="26" t="s">
        <v>77</v>
      </c>
      <c r="E429" s="27" t="s">
        <v>5</v>
      </c>
      <c r="F429" s="33">
        <v>357533</v>
      </c>
      <c r="G429" s="33">
        <v>174465</v>
      </c>
      <c r="H429" s="33">
        <v>183068</v>
      </c>
      <c r="I429" s="33">
        <v>28707</v>
      </c>
      <c r="J429" s="33">
        <v>14612</v>
      </c>
      <c r="K429" s="33">
        <v>14095</v>
      </c>
      <c r="L429" s="33">
        <v>305069</v>
      </c>
      <c r="M429" s="33">
        <v>149184</v>
      </c>
      <c r="N429" s="33">
        <v>155885</v>
      </c>
      <c r="O429" s="29">
        <f t="shared" si="30"/>
        <v>1049</v>
      </c>
      <c r="P429" s="29">
        <f t="shared" si="31"/>
        <v>965</v>
      </c>
      <c r="Q429" s="30">
        <f t="shared" si="32"/>
        <v>92.78</v>
      </c>
      <c r="R429" s="30">
        <f t="shared" si="33"/>
        <v>93.33</v>
      </c>
      <c r="S429" s="30">
        <f t="shared" si="34"/>
        <v>92.25</v>
      </c>
    </row>
    <row r="430" spans="1:19" s="5" customFormat="1" ht="15.95" customHeight="1" x14ac:dyDescent="0.25">
      <c r="A430" s="65" t="s">
        <v>67</v>
      </c>
      <c r="B430" s="15" t="s">
        <v>66</v>
      </c>
      <c r="C430" s="40" t="s">
        <v>74</v>
      </c>
      <c r="D430" s="26" t="s">
        <v>76</v>
      </c>
      <c r="E430" s="27" t="s">
        <v>5</v>
      </c>
      <c r="F430" s="28">
        <v>293566</v>
      </c>
      <c r="G430" s="28">
        <v>143650</v>
      </c>
      <c r="H430" s="28">
        <v>149916</v>
      </c>
      <c r="I430" s="28">
        <v>26773</v>
      </c>
      <c r="J430" s="28">
        <v>13707</v>
      </c>
      <c r="K430" s="28">
        <v>13066</v>
      </c>
      <c r="L430" s="28">
        <v>245829</v>
      </c>
      <c r="M430" s="28">
        <v>123892</v>
      </c>
      <c r="N430" s="28">
        <v>121937</v>
      </c>
      <c r="O430" s="29">
        <f t="shared" si="30"/>
        <v>1044</v>
      </c>
      <c r="P430" s="29">
        <f t="shared" si="31"/>
        <v>953</v>
      </c>
      <c r="Q430" s="30">
        <f t="shared" si="32"/>
        <v>92.14</v>
      </c>
      <c r="R430" s="30">
        <f t="shared" si="33"/>
        <v>95.34</v>
      </c>
      <c r="S430" s="30">
        <f t="shared" si="34"/>
        <v>89.1</v>
      </c>
    </row>
    <row r="431" spans="1:19" s="5" customFormat="1" ht="15.95" customHeight="1" x14ac:dyDescent="0.25">
      <c r="A431" s="65" t="s">
        <v>67</v>
      </c>
      <c r="B431" s="15" t="s">
        <v>66</v>
      </c>
      <c r="C431" s="60">
        <v>11</v>
      </c>
      <c r="D431" s="26" t="s">
        <v>75</v>
      </c>
      <c r="E431" s="27" t="s">
        <v>5</v>
      </c>
      <c r="F431" s="33">
        <v>241072</v>
      </c>
      <c r="G431" s="33">
        <v>116401</v>
      </c>
      <c r="H431" s="33">
        <v>124671</v>
      </c>
      <c r="I431" s="33">
        <v>21638</v>
      </c>
      <c r="J431" s="33">
        <v>11162</v>
      </c>
      <c r="K431" s="33">
        <v>10476</v>
      </c>
      <c r="L431" s="33">
        <v>210909</v>
      </c>
      <c r="M431" s="33">
        <v>102817</v>
      </c>
      <c r="N431" s="33">
        <v>108092</v>
      </c>
      <c r="O431" s="29">
        <f t="shared" si="30"/>
        <v>1071</v>
      </c>
      <c r="P431" s="29">
        <f t="shared" si="31"/>
        <v>939</v>
      </c>
      <c r="Q431" s="30">
        <f t="shared" si="32"/>
        <v>96.12</v>
      </c>
      <c r="R431" s="30">
        <f t="shared" si="33"/>
        <v>97.7</v>
      </c>
      <c r="S431" s="30">
        <f t="shared" si="34"/>
        <v>94.66</v>
      </c>
    </row>
    <row r="432" spans="1:19" s="5" customFormat="1" ht="15.95" customHeight="1" x14ac:dyDescent="0.25">
      <c r="A432" s="65" t="s">
        <v>67</v>
      </c>
      <c r="B432" s="15" t="s">
        <v>66</v>
      </c>
      <c r="C432" s="40" t="s">
        <v>74</v>
      </c>
      <c r="D432" s="26" t="s">
        <v>73</v>
      </c>
      <c r="E432" s="27" t="s">
        <v>5</v>
      </c>
      <c r="F432" s="28">
        <v>238238</v>
      </c>
      <c r="G432" s="28">
        <v>114183</v>
      </c>
      <c r="H432" s="28">
        <v>124055</v>
      </c>
      <c r="I432" s="28">
        <v>25631</v>
      </c>
      <c r="J432" s="28">
        <v>13060</v>
      </c>
      <c r="K432" s="28">
        <v>12571</v>
      </c>
      <c r="L432" s="28">
        <v>200647</v>
      </c>
      <c r="M432" s="28">
        <v>97477</v>
      </c>
      <c r="N432" s="28">
        <v>103170</v>
      </c>
      <c r="O432" s="29">
        <f t="shared" si="30"/>
        <v>1086</v>
      </c>
      <c r="P432" s="29">
        <f t="shared" si="31"/>
        <v>963</v>
      </c>
      <c r="Q432" s="30">
        <f t="shared" si="32"/>
        <v>94.37</v>
      </c>
      <c r="R432" s="30">
        <f t="shared" si="33"/>
        <v>96.39</v>
      </c>
      <c r="S432" s="30">
        <f t="shared" si="34"/>
        <v>92.54</v>
      </c>
    </row>
    <row r="433" spans="1:19" s="5" customFormat="1" ht="15.95" customHeight="1" x14ac:dyDescent="0.25">
      <c r="A433" s="65" t="s">
        <v>67</v>
      </c>
      <c r="B433" s="15" t="s">
        <v>66</v>
      </c>
      <c r="C433" s="40" t="s">
        <v>71</v>
      </c>
      <c r="D433" s="26" t="s">
        <v>72</v>
      </c>
      <c r="E433" s="27" t="s">
        <v>5</v>
      </c>
      <c r="F433" s="28">
        <v>229706</v>
      </c>
      <c r="G433" s="28">
        <v>106983</v>
      </c>
      <c r="H433" s="28">
        <v>122723</v>
      </c>
      <c r="I433" s="28">
        <v>25483</v>
      </c>
      <c r="J433" s="28">
        <v>12980</v>
      </c>
      <c r="K433" s="28">
        <v>12503</v>
      </c>
      <c r="L433" s="28">
        <v>188743</v>
      </c>
      <c r="M433" s="28">
        <v>90325</v>
      </c>
      <c r="N433" s="28">
        <v>98418</v>
      </c>
      <c r="O433" s="29">
        <f t="shared" si="30"/>
        <v>1147</v>
      </c>
      <c r="P433" s="29">
        <f t="shared" si="31"/>
        <v>963</v>
      </c>
      <c r="Q433" s="30">
        <f t="shared" si="32"/>
        <v>92.42</v>
      </c>
      <c r="R433" s="30">
        <f t="shared" si="33"/>
        <v>96.09</v>
      </c>
      <c r="S433" s="30">
        <f t="shared" si="34"/>
        <v>89.29</v>
      </c>
    </row>
    <row r="434" spans="1:19" s="5" customFormat="1" ht="15.95" customHeight="1" x14ac:dyDescent="0.25">
      <c r="A434" s="65" t="s">
        <v>67</v>
      </c>
      <c r="B434" s="15" t="s">
        <v>66</v>
      </c>
      <c r="C434" s="40" t="s">
        <v>71</v>
      </c>
      <c r="D434" s="26" t="s">
        <v>70</v>
      </c>
      <c r="E434" s="27" t="s">
        <v>5</v>
      </c>
      <c r="F434" s="33">
        <v>192761</v>
      </c>
      <c r="G434" s="33">
        <v>92960</v>
      </c>
      <c r="H434" s="33">
        <v>99801</v>
      </c>
      <c r="I434" s="33">
        <v>24584</v>
      </c>
      <c r="J434" s="33">
        <v>12621</v>
      </c>
      <c r="K434" s="33">
        <v>11963</v>
      </c>
      <c r="L434" s="33">
        <v>154740</v>
      </c>
      <c r="M434" s="33">
        <v>76527</v>
      </c>
      <c r="N434" s="33">
        <v>78213</v>
      </c>
      <c r="O434" s="29">
        <f t="shared" si="30"/>
        <v>1074</v>
      </c>
      <c r="P434" s="29">
        <f t="shared" si="31"/>
        <v>948</v>
      </c>
      <c r="Q434" s="30">
        <f t="shared" si="32"/>
        <v>92.01</v>
      </c>
      <c r="R434" s="30">
        <f t="shared" si="33"/>
        <v>95.26</v>
      </c>
      <c r="S434" s="30">
        <f t="shared" si="34"/>
        <v>89.04</v>
      </c>
    </row>
    <row r="435" spans="1:19" s="5" customFormat="1" ht="15.95" customHeight="1" x14ac:dyDescent="0.25">
      <c r="A435" s="65" t="s">
        <v>67</v>
      </c>
      <c r="B435" s="15" t="s">
        <v>66</v>
      </c>
      <c r="C435" s="60">
        <v>10</v>
      </c>
      <c r="D435" s="26" t="s">
        <v>69</v>
      </c>
      <c r="E435" s="27" t="s">
        <v>5</v>
      </c>
      <c r="F435" s="28">
        <v>127971</v>
      </c>
      <c r="G435" s="28">
        <v>61740</v>
      </c>
      <c r="H435" s="28">
        <v>66231</v>
      </c>
      <c r="I435" s="28">
        <v>11118</v>
      </c>
      <c r="J435" s="28">
        <v>5700</v>
      </c>
      <c r="K435" s="28">
        <v>5418</v>
      </c>
      <c r="L435" s="28">
        <v>114394</v>
      </c>
      <c r="M435" s="28">
        <v>55188</v>
      </c>
      <c r="N435" s="28">
        <v>59206</v>
      </c>
      <c r="O435" s="29">
        <f t="shared" si="30"/>
        <v>1073</v>
      </c>
      <c r="P435" s="29">
        <f t="shared" si="31"/>
        <v>951</v>
      </c>
      <c r="Q435" s="30">
        <f t="shared" si="32"/>
        <v>97.9</v>
      </c>
      <c r="R435" s="30">
        <f t="shared" si="33"/>
        <v>98.48</v>
      </c>
      <c r="S435" s="30">
        <f t="shared" si="34"/>
        <v>97.36</v>
      </c>
    </row>
    <row r="436" spans="1:19" s="5" customFormat="1" ht="15.95" customHeight="1" x14ac:dyDescent="0.25">
      <c r="A436" s="65" t="s">
        <v>67</v>
      </c>
      <c r="B436" s="15" t="s">
        <v>66</v>
      </c>
      <c r="C436" s="40" t="s">
        <v>57</v>
      </c>
      <c r="D436" s="26" t="s">
        <v>68</v>
      </c>
      <c r="E436" s="27" t="s">
        <v>5</v>
      </c>
      <c r="F436" s="28">
        <v>114901</v>
      </c>
      <c r="G436" s="28">
        <v>55276</v>
      </c>
      <c r="H436" s="28">
        <v>59625</v>
      </c>
      <c r="I436" s="28">
        <v>10176</v>
      </c>
      <c r="J436" s="28">
        <v>5225</v>
      </c>
      <c r="K436" s="28">
        <v>4951</v>
      </c>
      <c r="L436" s="28">
        <v>100977</v>
      </c>
      <c r="M436" s="28">
        <v>48815</v>
      </c>
      <c r="N436" s="28">
        <v>52162</v>
      </c>
      <c r="O436" s="29">
        <f t="shared" si="30"/>
        <v>1079</v>
      </c>
      <c r="P436" s="29">
        <f t="shared" si="31"/>
        <v>948</v>
      </c>
      <c r="Q436" s="30">
        <f t="shared" si="32"/>
        <v>96.42</v>
      </c>
      <c r="R436" s="30">
        <f t="shared" si="33"/>
        <v>97.53</v>
      </c>
      <c r="S436" s="30">
        <f t="shared" si="34"/>
        <v>95.41</v>
      </c>
    </row>
    <row r="437" spans="1:19" s="5" customFormat="1" ht="15.95" customHeight="1" x14ac:dyDescent="0.25">
      <c r="A437" s="65" t="s">
        <v>67</v>
      </c>
      <c r="B437" s="15" t="s">
        <v>66</v>
      </c>
      <c r="C437" s="40" t="s">
        <v>34</v>
      </c>
      <c r="D437" s="26" t="s">
        <v>65</v>
      </c>
      <c r="E437" s="27" t="s">
        <v>5</v>
      </c>
      <c r="F437" s="28">
        <v>114574</v>
      </c>
      <c r="G437" s="28">
        <v>56753</v>
      </c>
      <c r="H437" s="28">
        <v>57821</v>
      </c>
      <c r="I437" s="28">
        <v>11255</v>
      </c>
      <c r="J437" s="28">
        <v>5834</v>
      </c>
      <c r="K437" s="28">
        <v>5421</v>
      </c>
      <c r="L437" s="28">
        <v>98398</v>
      </c>
      <c r="M437" s="28">
        <v>49412</v>
      </c>
      <c r="N437" s="28">
        <v>48986</v>
      </c>
      <c r="O437" s="29">
        <f t="shared" si="30"/>
        <v>1019</v>
      </c>
      <c r="P437" s="29">
        <f t="shared" si="31"/>
        <v>929</v>
      </c>
      <c r="Q437" s="30">
        <f t="shared" si="32"/>
        <v>95.24</v>
      </c>
      <c r="R437" s="30">
        <f t="shared" si="33"/>
        <v>97.04</v>
      </c>
      <c r="S437" s="30">
        <f t="shared" si="34"/>
        <v>93.48</v>
      </c>
    </row>
    <row r="438" spans="1:19" s="5" customFormat="1" ht="15.95" customHeight="1" x14ac:dyDescent="0.25">
      <c r="A438" s="24" t="s">
        <v>13</v>
      </c>
      <c r="B438" s="15" t="s">
        <v>12</v>
      </c>
      <c r="C438" s="25">
        <v>99</v>
      </c>
      <c r="D438" s="41" t="s">
        <v>64</v>
      </c>
      <c r="E438" s="27" t="s">
        <v>5</v>
      </c>
      <c r="F438" s="33">
        <v>8696010</v>
      </c>
      <c r="G438" s="33">
        <v>4389200</v>
      </c>
      <c r="H438" s="33">
        <v>4306810</v>
      </c>
      <c r="I438" s="33">
        <v>816862</v>
      </c>
      <c r="J438" s="33">
        <v>416238</v>
      </c>
      <c r="K438" s="33">
        <v>400624</v>
      </c>
      <c r="L438" s="33">
        <v>7118747</v>
      </c>
      <c r="M438" s="33">
        <v>3717302</v>
      </c>
      <c r="N438" s="33">
        <v>3401445</v>
      </c>
      <c r="O438" s="29">
        <f t="shared" si="30"/>
        <v>981</v>
      </c>
      <c r="P438" s="29">
        <f t="shared" si="31"/>
        <v>962</v>
      </c>
      <c r="Q438" s="30">
        <f t="shared" si="32"/>
        <v>90.35</v>
      </c>
      <c r="R438" s="30">
        <f t="shared" si="33"/>
        <v>93.57</v>
      </c>
      <c r="S438" s="30">
        <f t="shared" si="34"/>
        <v>87.08</v>
      </c>
    </row>
    <row r="439" spans="1:19" s="5" customFormat="1" ht="15.95" customHeight="1" x14ac:dyDescent="0.25">
      <c r="A439" s="24" t="s">
        <v>13</v>
      </c>
      <c r="B439" s="15" t="s">
        <v>12</v>
      </c>
      <c r="C439" s="25" t="s">
        <v>23</v>
      </c>
      <c r="D439" s="26" t="s">
        <v>63</v>
      </c>
      <c r="E439" s="27" t="s">
        <v>5</v>
      </c>
      <c r="F439" s="33">
        <v>2151466</v>
      </c>
      <c r="G439" s="33">
        <v>1077812</v>
      </c>
      <c r="H439" s="33">
        <v>1073654</v>
      </c>
      <c r="I439" s="33">
        <v>193497</v>
      </c>
      <c r="J439" s="33">
        <v>98499</v>
      </c>
      <c r="K439" s="33">
        <v>94998</v>
      </c>
      <c r="L439" s="33">
        <v>1747178</v>
      </c>
      <c r="M439" s="33">
        <v>912408</v>
      </c>
      <c r="N439" s="33">
        <v>834770</v>
      </c>
      <c r="O439" s="29">
        <f t="shared" si="30"/>
        <v>996</v>
      </c>
      <c r="P439" s="29">
        <f t="shared" si="31"/>
        <v>964</v>
      </c>
      <c r="Q439" s="30">
        <f t="shared" si="32"/>
        <v>89.23</v>
      </c>
      <c r="R439" s="30">
        <f t="shared" si="33"/>
        <v>93.17</v>
      </c>
      <c r="S439" s="30">
        <f t="shared" si="34"/>
        <v>85.3</v>
      </c>
    </row>
    <row r="440" spans="1:19" s="5" customFormat="1" ht="15.95" customHeight="1" x14ac:dyDescent="0.25">
      <c r="A440" s="24" t="s">
        <v>13</v>
      </c>
      <c r="B440" s="15" t="s">
        <v>12</v>
      </c>
      <c r="C440" s="25" t="s">
        <v>62</v>
      </c>
      <c r="D440" s="26" t="s">
        <v>61</v>
      </c>
      <c r="E440" s="27" t="s">
        <v>5</v>
      </c>
      <c r="F440" s="33">
        <v>1462420</v>
      </c>
      <c r="G440" s="33">
        <v>732861</v>
      </c>
      <c r="H440" s="33">
        <v>729559</v>
      </c>
      <c r="I440" s="33">
        <v>132904</v>
      </c>
      <c r="J440" s="33">
        <v>68026</v>
      </c>
      <c r="K440" s="33">
        <v>64878</v>
      </c>
      <c r="L440" s="33">
        <v>1210645</v>
      </c>
      <c r="M440" s="33">
        <v>630962</v>
      </c>
      <c r="N440" s="33">
        <v>579683</v>
      </c>
      <c r="O440" s="29">
        <f t="shared" si="30"/>
        <v>995</v>
      </c>
      <c r="P440" s="29">
        <f t="shared" si="31"/>
        <v>954</v>
      </c>
      <c r="Q440" s="30">
        <f t="shared" si="32"/>
        <v>91.06</v>
      </c>
      <c r="R440" s="30">
        <f t="shared" si="33"/>
        <v>94.91</v>
      </c>
      <c r="S440" s="30">
        <f t="shared" si="34"/>
        <v>87.21</v>
      </c>
    </row>
    <row r="441" spans="1:19" s="5" customFormat="1" ht="15.95" customHeight="1" x14ac:dyDescent="0.25">
      <c r="A441" s="24" t="s">
        <v>13</v>
      </c>
      <c r="B441" s="15" t="s">
        <v>12</v>
      </c>
      <c r="C441" s="25" t="s">
        <v>60</v>
      </c>
      <c r="D441" s="26" t="s">
        <v>59</v>
      </c>
      <c r="E441" s="27" t="s">
        <v>5</v>
      </c>
      <c r="F441" s="33">
        <v>1021717</v>
      </c>
      <c r="G441" s="33">
        <v>507180</v>
      </c>
      <c r="H441" s="33">
        <v>514537</v>
      </c>
      <c r="I441" s="33">
        <v>89176</v>
      </c>
      <c r="J441" s="33">
        <v>45321</v>
      </c>
      <c r="K441" s="33">
        <v>43855</v>
      </c>
      <c r="L441" s="33">
        <v>850484</v>
      </c>
      <c r="M441" s="33">
        <v>437399</v>
      </c>
      <c r="N441" s="33">
        <v>413085</v>
      </c>
      <c r="O441" s="29">
        <f t="shared" si="30"/>
        <v>1015</v>
      </c>
      <c r="P441" s="29">
        <f t="shared" si="31"/>
        <v>968</v>
      </c>
      <c r="Q441" s="30">
        <f t="shared" si="32"/>
        <v>91.2</v>
      </c>
      <c r="R441" s="30">
        <f t="shared" si="33"/>
        <v>94.7</v>
      </c>
      <c r="S441" s="30">
        <f t="shared" si="34"/>
        <v>87.76</v>
      </c>
    </row>
    <row r="442" spans="1:19" s="5" customFormat="1" ht="15.95" customHeight="1" x14ac:dyDescent="0.25">
      <c r="A442" s="24" t="s">
        <v>13</v>
      </c>
      <c r="B442" s="15" t="s">
        <v>12</v>
      </c>
      <c r="C442" s="60">
        <v>32</v>
      </c>
      <c r="D442" s="26" t="s">
        <v>58</v>
      </c>
      <c r="E442" s="27" t="s">
        <v>5</v>
      </c>
      <c r="F442" s="33">
        <v>962982</v>
      </c>
      <c r="G442" s="33">
        <v>489465</v>
      </c>
      <c r="H442" s="33">
        <v>473517</v>
      </c>
      <c r="I442" s="33">
        <v>101797</v>
      </c>
      <c r="J442" s="33">
        <v>52005</v>
      </c>
      <c r="K442" s="33">
        <v>49792</v>
      </c>
      <c r="L442" s="33">
        <v>742982</v>
      </c>
      <c r="M442" s="33">
        <v>399561</v>
      </c>
      <c r="N442" s="33">
        <v>343421</v>
      </c>
      <c r="O442" s="29">
        <f t="shared" si="30"/>
        <v>967</v>
      </c>
      <c r="P442" s="29">
        <f t="shared" si="31"/>
        <v>957</v>
      </c>
      <c r="Q442" s="30">
        <f t="shared" si="32"/>
        <v>86.27</v>
      </c>
      <c r="R442" s="30">
        <f t="shared" si="33"/>
        <v>91.34</v>
      </c>
      <c r="S442" s="30">
        <f t="shared" si="34"/>
        <v>81.05</v>
      </c>
    </row>
    <row r="443" spans="1:19" s="5" customFormat="1" ht="15.95" customHeight="1" x14ac:dyDescent="0.25">
      <c r="A443" s="24" t="s">
        <v>13</v>
      </c>
      <c r="B443" s="15" t="s">
        <v>12</v>
      </c>
      <c r="C443" s="25" t="s">
        <v>57</v>
      </c>
      <c r="D443" s="26" t="s">
        <v>56</v>
      </c>
      <c r="E443" s="27" t="s">
        <v>5</v>
      </c>
      <c r="F443" s="33">
        <v>919150</v>
      </c>
      <c r="G443" s="33">
        <v>463267</v>
      </c>
      <c r="H443" s="33">
        <v>455883</v>
      </c>
      <c r="I443" s="33">
        <v>82073</v>
      </c>
      <c r="J443" s="33">
        <v>42024</v>
      </c>
      <c r="K443" s="33">
        <v>40049</v>
      </c>
      <c r="L443" s="33">
        <v>700821</v>
      </c>
      <c r="M443" s="33">
        <v>374420</v>
      </c>
      <c r="N443" s="33">
        <v>326401</v>
      </c>
      <c r="O443" s="29">
        <f t="shared" si="30"/>
        <v>984</v>
      </c>
      <c r="P443" s="29">
        <f t="shared" si="31"/>
        <v>953</v>
      </c>
      <c r="Q443" s="30">
        <f t="shared" si="32"/>
        <v>83.72</v>
      </c>
      <c r="R443" s="30">
        <f t="shared" si="33"/>
        <v>88.88</v>
      </c>
      <c r="S443" s="30">
        <f t="shared" si="34"/>
        <v>78.489999999999995</v>
      </c>
    </row>
    <row r="444" spans="1:19" s="5" customFormat="1" ht="15.95" customHeight="1" x14ac:dyDescent="0.25">
      <c r="A444" s="24" t="s">
        <v>13</v>
      </c>
      <c r="B444" s="15" t="s">
        <v>12</v>
      </c>
      <c r="C444" s="25" t="s">
        <v>55</v>
      </c>
      <c r="D444" s="26" t="s">
        <v>54</v>
      </c>
      <c r="E444" s="27" t="s">
        <v>5</v>
      </c>
      <c r="F444" s="33">
        <v>521776</v>
      </c>
      <c r="G444" s="33">
        <v>261470</v>
      </c>
      <c r="H444" s="33">
        <v>260306</v>
      </c>
      <c r="I444" s="33">
        <v>47029</v>
      </c>
      <c r="J444" s="33">
        <v>24002</v>
      </c>
      <c r="K444" s="33">
        <v>23027</v>
      </c>
      <c r="L444" s="33">
        <v>403496</v>
      </c>
      <c r="M444" s="33">
        <v>214981</v>
      </c>
      <c r="N444" s="33">
        <v>188515</v>
      </c>
      <c r="O444" s="29">
        <f t="shared" si="30"/>
        <v>996</v>
      </c>
      <c r="P444" s="29">
        <f t="shared" si="31"/>
        <v>959</v>
      </c>
      <c r="Q444" s="30">
        <f t="shared" si="32"/>
        <v>84.99</v>
      </c>
      <c r="R444" s="30">
        <f t="shared" si="33"/>
        <v>90.53</v>
      </c>
      <c r="S444" s="30">
        <f t="shared" si="34"/>
        <v>79.45</v>
      </c>
    </row>
    <row r="445" spans="1:19" s="5" customFormat="1" ht="15.95" customHeight="1" x14ac:dyDescent="0.25">
      <c r="A445" s="24" t="s">
        <v>13</v>
      </c>
      <c r="B445" s="15" t="s">
        <v>12</v>
      </c>
      <c r="C445" s="25" t="s">
        <v>53</v>
      </c>
      <c r="D445" s="26" t="s">
        <v>52</v>
      </c>
      <c r="E445" s="27" t="s">
        <v>5</v>
      </c>
      <c r="F445" s="33">
        <v>498984</v>
      </c>
      <c r="G445" s="33">
        <v>246710</v>
      </c>
      <c r="H445" s="33">
        <v>252274</v>
      </c>
      <c r="I445" s="33">
        <v>46335</v>
      </c>
      <c r="J445" s="33">
        <v>23677</v>
      </c>
      <c r="K445" s="33">
        <v>22658</v>
      </c>
      <c r="L445" s="33">
        <v>411281</v>
      </c>
      <c r="M445" s="33">
        <v>211727</v>
      </c>
      <c r="N445" s="33">
        <v>199554</v>
      </c>
      <c r="O445" s="29">
        <f t="shared" si="30"/>
        <v>1023</v>
      </c>
      <c r="P445" s="29">
        <f t="shared" si="31"/>
        <v>957</v>
      </c>
      <c r="Q445" s="30">
        <f t="shared" si="32"/>
        <v>90.86</v>
      </c>
      <c r="R445" s="30">
        <f t="shared" si="33"/>
        <v>94.93</v>
      </c>
      <c r="S445" s="30">
        <f t="shared" si="34"/>
        <v>86.91</v>
      </c>
    </row>
    <row r="446" spans="1:19" s="5" customFormat="1" ht="15.95" customHeight="1" x14ac:dyDescent="0.25">
      <c r="A446" s="24" t="s">
        <v>13</v>
      </c>
      <c r="B446" s="15" t="s">
        <v>12</v>
      </c>
      <c r="C446" s="25" t="s">
        <v>15</v>
      </c>
      <c r="D446" s="26" t="s">
        <v>51</v>
      </c>
      <c r="E446" s="27" t="s">
        <v>5</v>
      </c>
      <c r="F446" s="33">
        <v>481966</v>
      </c>
      <c r="G446" s="33">
        <v>239735</v>
      </c>
      <c r="H446" s="33">
        <v>242231</v>
      </c>
      <c r="I446" s="33">
        <v>45049</v>
      </c>
      <c r="J446" s="33">
        <v>22889</v>
      </c>
      <c r="K446" s="33">
        <v>22160</v>
      </c>
      <c r="L446" s="33">
        <v>381382</v>
      </c>
      <c r="M446" s="33">
        <v>200068</v>
      </c>
      <c r="N446" s="33">
        <v>181314</v>
      </c>
      <c r="O446" s="29">
        <f t="shared" si="30"/>
        <v>1010</v>
      </c>
      <c r="P446" s="29">
        <f t="shared" si="31"/>
        <v>968</v>
      </c>
      <c r="Q446" s="30">
        <f t="shared" si="32"/>
        <v>87.29</v>
      </c>
      <c r="R446" s="30">
        <f t="shared" si="33"/>
        <v>92.26</v>
      </c>
      <c r="S446" s="30">
        <f t="shared" si="34"/>
        <v>82.39</v>
      </c>
    </row>
    <row r="447" spans="1:19" s="5" customFormat="1" ht="15.95" customHeight="1" x14ac:dyDescent="0.25">
      <c r="A447" s="24" t="s">
        <v>13</v>
      </c>
      <c r="B447" s="15" t="s">
        <v>12</v>
      </c>
      <c r="C447" s="25" t="s">
        <v>50</v>
      </c>
      <c r="D447" s="26" t="s">
        <v>49</v>
      </c>
      <c r="E447" s="27" t="s">
        <v>5</v>
      </c>
      <c r="F447" s="33">
        <v>410760</v>
      </c>
      <c r="G447" s="33">
        <v>205459</v>
      </c>
      <c r="H447" s="33">
        <v>205301</v>
      </c>
      <c r="I447" s="33">
        <v>42756</v>
      </c>
      <c r="J447" s="33">
        <v>21596</v>
      </c>
      <c r="K447" s="33">
        <v>21160</v>
      </c>
      <c r="L447" s="33">
        <v>338949</v>
      </c>
      <c r="M447" s="33">
        <v>174381</v>
      </c>
      <c r="N447" s="33">
        <v>164568</v>
      </c>
      <c r="O447" s="29">
        <f t="shared" si="30"/>
        <v>999</v>
      </c>
      <c r="P447" s="29">
        <f t="shared" si="31"/>
        <v>980</v>
      </c>
      <c r="Q447" s="30">
        <f t="shared" si="32"/>
        <v>92.1</v>
      </c>
      <c r="R447" s="30">
        <f t="shared" si="33"/>
        <v>94.84</v>
      </c>
      <c r="S447" s="30">
        <f t="shared" si="34"/>
        <v>89.37</v>
      </c>
    </row>
    <row r="448" spans="1:19" s="5" customFormat="1" ht="15.95" customHeight="1" x14ac:dyDescent="0.25">
      <c r="A448" s="24" t="s">
        <v>13</v>
      </c>
      <c r="B448" s="15" t="s">
        <v>12</v>
      </c>
      <c r="C448" s="25" t="s">
        <v>48</v>
      </c>
      <c r="D448" s="26" t="s">
        <v>47</v>
      </c>
      <c r="E448" s="27" t="s">
        <v>5</v>
      </c>
      <c r="F448" s="33">
        <v>292132</v>
      </c>
      <c r="G448" s="33">
        <v>145438</v>
      </c>
      <c r="H448" s="33">
        <v>146694</v>
      </c>
      <c r="I448" s="33">
        <v>26169</v>
      </c>
      <c r="J448" s="33">
        <v>13327</v>
      </c>
      <c r="K448" s="33">
        <v>12842</v>
      </c>
      <c r="L448" s="33">
        <v>236961</v>
      </c>
      <c r="M448" s="33">
        <v>123409</v>
      </c>
      <c r="N448" s="33">
        <v>113552</v>
      </c>
      <c r="O448" s="29">
        <f t="shared" si="30"/>
        <v>1009</v>
      </c>
      <c r="P448" s="29">
        <f t="shared" si="31"/>
        <v>964</v>
      </c>
      <c r="Q448" s="30">
        <f t="shared" si="32"/>
        <v>89.1</v>
      </c>
      <c r="R448" s="30">
        <f t="shared" si="33"/>
        <v>93.41</v>
      </c>
      <c r="S448" s="30">
        <f t="shared" si="34"/>
        <v>84.83</v>
      </c>
    </row>
    <row r="449" spans="1:19" s="5" customFormat="1" ht="15.95" customHeight="1" x14ac:dyDescent="0.25">
      <c r="A449" s="24" t="s">
        <v>13</v>
      </c>
      <c r="B449" s="15" t="s">
        <v>12</v>
      </c>
      <c r="C449" s="25" t="s">
        <v>27</v>
      </c>
      <c r="D449" s="26" t="s">
        <v>46</v>
      </c>
      <c r="E449" s="27" t="s">
        <v>5</v>
      </c>
      <c r="F449" s="33">
        <v>290724</v>
      </c>
      <c r="G449" s="33">
        <v>142765</v>
      </c>
      <c r="H449" s="33">
        <v>147959</v>
      </c>
      <c r="I449" s="33">
        <v>24760</v>
      </c>
      <c r="J449" s="33">
        <v>12778</v>
      </c>
      <c r="K449" s="33">
        <v>11982</v>
      </c>
      <c r="L449" s="33">
        <v>243017</v>
      </c>
      <c r="M449" s="33">
        <v>123561</v>
      </c>
      <c r="N449" s="33">
        <v>119456</v>
      </c>
      <c r="O449" s="29">
        <f t="shared" si="30"/>
        <v>1036</v>
      </c>
      <c r="P449" s="29">
        <f t="shared" si="31"/>
        <v>938</v>
      </c>
      <c r="Q449" s="30">
        <f t="shared" si="32"/>
        <v>91.37</v>
      </c>
      <c r="R449" s="30">
        <f t="shared" si="33"/>
        <v>95.06</v>
      </c>
      <c r="S449" s="30">
        <f t="shared" si="34"/>
        <v>87.85</v>
      </c>
    </row>
    <row r="450" spans="1:19" s="5" customFormat="1" ht="15.95" customHeight="1" x14ac:dyDescent="0.25">
      <c r="A450" s="24" t="s">
        <v>13</v>
      </c>
      <c r="B450" s="15" t="s">
        <v>12</v>
      </c>
      <c r="C450" s="25" t="s">
        <v>15</v>
      </c>
      <c r="D450" s="26" t="s">
        <v>45</v>
      </c>
      <c r="E450" s="27" t="s">
        <v>5</v>
      </c>
      <c r="F450" s="33">
        <v>262346</v>
      </c>
      <c r="G450" s="33">
        <v>129884</v>
      </c>
      <c r="H450" s="33">
        <v>132462</v>
      </c>
      <c r="I450" s="33">
        <v>26109</v>
      </c>
      <c r="J450" s="33">
        <v>13406</v>
      </c>
      <c r="K450" s="33">
        <v>12703</v>
      </c>
      <c r="L450" s="33">
        <v>203977</v>
      </c>
      <c r="M450" s="33">
        <v>106997</v>
      </c>
      <c r="N450" s="33">
        <v>96980</v>
      </c>
      <c r="O450" s="29">
        <f t="shared" si="30"/>
        <v>1020</v>
      </c>
      <c r="P450" s="29">
        <f t="shared" si="31"/>
        <v>948</v>
      </c>
      <c r="Q450" s="30">
        <f t="shared" si="32"/>
        <v>86.34</v>
      </c>
      <c r="R450" s="30">
        <f t="shared" si="33"/>
        <v>91.86</v>
      </c>
      <c r="S450" s="30">
        <f t="shared" si="34"/>
        <v>80.98</v>
      </c>
    </row>
    <row r="451" spans="1:19" s="5" customFormat="1" ht="15.95" customHeight="1" x14ac:dyDescent="0.25">
      <c r="A451" s="24" t="s">
        <v>13</v>
      </c>
      <c r="B451" s="15" t="s">
        <v>12</v>
      </c>
      <c r="C451" s="25" t="s">
        <v>21</v>
      </c>
      <c r="D451" s="26" t="s">
        <v>44</v>
      </c>
      <c r="E451" s="27" t="s">
        <v>5</v>
      </c>
      <c r="F451" s="33">
        <v>234688</v>
      </c>
      <c r="G451" s="33">
        <v>116869</v>
      </c>
      <c r="H451" s="33">
        <v>117819</v>
      </c>
      <c r="I451" s="33">
        <v>23183</v>
      </c>
      <c r="J451" s="33">
        <v>11760</v>
      </c>
      <c r="K451" s="33">
        <v>11423</v>
      </c>
      <c r="L451" s="33">
        <v>176698</v>
      </c>
      <c r="M451" s="33">
        <v>94563</v>
      </c>
      <c r="N451" s="33">
        <v>82135</v>
      </c>
      <c r="O451" s="29">
        <f t="shared" si="30"/>
        <v>1008</v>
      </c>
      <c r="P451" s="29">
        <f t="shared" si="31"/>
        <v>971</v>
      </c>
      <c r="Q451" s="30">
        <f t="shared" si="32"/>
        <v>83.54</v>
      </c>
      <c r="R451" s="30">
        <f t="shared" si="33"/>
        <v>89.97</v>
      </c>
      <c r="S451" s="30">
        <f t="shared" si="34"/>
        <v>77.2</v>
      </c>
    </row>
    <row r="452" spans="1:19" s="5" customFormat="1" ht="15.95" customHeight="1" x14ac:dyDescent="0.25">
      <c r="A452" s="24" t="s">
        <v>13</v>
      </c>
      <c r="B452" s="15" t="s">
        <v>12</v>
      </c>
      <c r="C452" s="25" t="s">
        <v>43</v>
      </c>
      <c r="D452" s="26" t="s">
        <v>42</v>
      </c>
      <c r="E452" s="27" t="s">
        <v>5</v>
      </c>
      <c r="F452" s="33">
        <v>233763</v>
      </c>
      <c r="G452" s="33">
        <v>116536</v>
      </c>
      <c r="H452" s="33">
        <v>117227</v>
      </c>
      <c r="I452" s="33">
        <v>21175</v>
      </c>
      <c r="J452" s="33">
        <v>11002</v>
      </c>
      <c r="K452" s="33">
        <v>10173</v>
      </c>
      <c r="L452" s="33">
        <v>187223</v>
      </c>
      <c r="M452" s="33">
        <v>99007</v>
      </c>
      <c r="N452" s="33">
        <v>88216</v>
      </c>
      <c r="O452" s="29">
        <f t="shared" ref="O452:O471" si="35">ROUND((H452/G452)*1000,0)</f>
        <v>1006</v>
      </c>
      <c r="P452" s="29">
        <f t="shared" ref="P452:P471" si="36">ROUND((K452/J452)*1000,0)</f>
        <v>925</v>
      </c>
      <c r="Q452" s="30">
        <f t="shared" ref="Q452:Q471" si="37">ROUND(L452/(F452-I452)*100,2)</f>
        <v>88.07</v>
      </c>
      <c r="R452" s="30">
        <f t="shared" ref="R452:R471" si="38">ROUND(M452/(G452-J452)*100,2)</f>
        <v>93.82</v>
      </c>
      <c r="S452" s="30">
        <f t="shared" ref="S452:S471" si="39">ROUND(N452/(H452-K452)*100,2)</f>
        <v>82.4</v>
      </c>
    </row>
    <row r="453" spans="1:19" s="5" customFormat="1" ht="15.95" customHeight="1" x14ac:dyDescent="0.25">
      <c r="A453" s="24" t="s">
        <v>13</v>
      </c>
      <c r="B453" s="15" t="s">
        <v>12</v>
      </c>
      <c r="C453" s="25" t="s">
        <v>41</v>
      </c>
      <c r="D453" s="26" t="s">
        <v>40</v>
      </c>
      <c r="E453" s="27" t="s">
        <v>5</v>
      </c>
      <c r="F453" s="33">
        <v>233374</v>
      </c>
      <c r="G453" s="33">
        <v>115294</v>
      </c>
      <c r="H453" s="33">
        <v>118080</v>
      </c>
      <c r="I453" s="33">
        <v>18643</v>
      </c>
      <c r="J453" s="33">
        <v>9333</v>
      </c>
      <c r="K453" s="33">
        <v>9310</v>
      </c>
      <c r="L453" s="33">
        <v>193689</v>
      </c>
      <c r="M453" s="33">
        <v>100742</v>
      </c>
      <c r="N453" s="33">
        <v>92947</v>
      </c>
      <c r="O453" s="29">
        <f t="shared" si="35"/>
        <v>1024</v>
      </c>
      <c r="P453" s="29">
        <f t="shared" si="36"/>
        <v>998</v>
      </c>
      <c r="Q453" s="30">
        <f t="shared" si="37"/>
        <v>90.2</v>
      </c>
      <c r="R453" s="30">
        <f t="shared" si="38"/>
        <v>95.07</v>
      </c>
      <c r="S453" s="30">
        <f t="shared" si="39"/>
        <v>85.45</v>
      </c>
    </row>
    <row r="454" spans="1:19" s="5" customFormat="1" ht="15.95" customHeight="1" x14ac:dyDescent="0.25">
      <c r="A454" s="24" t="s">
        <v>13</v>
      </c>
      <c r="B454" s="15" t="s">
        <v>12</v>
      </c>
      <c r="C454" s="25" t="s">
        <v>39</v>
      </c>
      <c r="D454" s="26" t="s">
        <v>38</v>
      </c>
      <c r="E454" s="27" t="s">
        <v>5</v>
      </c>
      <c r="F454" s="33">
        <v>229507</v>
      </c>
      <c r="G454" s="33">
        <v>118133</v>
      </c>
      <c r="H454" s="33">
        <v>111374</v>
      </c>
      <c r="I454" s="33">
        <v>27724</v>
      </c>
      <c r="J454" s="33">
        <v>14147</v>
      </c>
      <c r="K454" s="33">
        <v>13577</v>
      </c>
      <c r="L454" s="33">
        <v>178048</v>
      </c>
      <c r="M454" s="33">
        <v>95487</v>
      </c>
      <c r="N454" s="33">
        <v>82561</v>
      </c>
      <c r="O454" s="29">
        <f t="shared" si="35"/>
        <v>943</v>
      </c>
      <c r="P454" s="29">
        <f t="shared" si="36"/>
        <v>960</v>
      </c>
      <c r="Q454" s="30">
        <f t="shared" si="37"/>
        <v>88.24</v>
      </c>
      <c r="R454" s="30">
        <f t="shared" si="38"/>
        <v>91.83</v>
      </c>
      <c r="S454" s="30">
        <f t="shared" si="39"/>
        <v>84.42</v>
      </c>
    </row>
    <row r="455" spans="1:19" s="5" customFormat="1" ht="15.95" customHeight="1" x14ac:dyDescent="0.25">
      <c r="A455" s="24" t="s">
        <v>13</v>
      </c>
      <c r="B455" s="15" t="s">
        <v>12</v>
      </c>
      <c r="C455" s="25" t="s">
        <v>37</v>
      </c>
      <c r="D455" s="26" t="s">
        <v>36</v>
      </c>
      <c r="E455" s="36" t="s">
        <v>0</v>
      </c>
      <c r="F455" s="33">
        <v>224329</v>
      </c>
      <c r="G455" s="33">
        <v>110132</v>
      </c>
      <c r="H455" s="33">
        <v>114197</v>
      </c>
      <c r="I455" s="33">
        <v>19034</v>
      </c>
      <c r="J455" s="33">
        <v>9599</v>
      </c>
      <c r="K455" s="33">
        <v>9435</v>
      </c>
      <c r="L455" s="33">
        <v>195748</v>
      </c>
      <c r="M455" s="33">
        <v>97545</v>
      </c>
      <c r="N455" s="33">
        <v>98203</v>
      </c>
      <c r="O455" s="29">
        <f t="shared" si="35"/>
        <v>1037</v>
      </c>
      <c r="P455" s="29">
        <f t="shared" si="36"/>
        <v>983</v>
      </c>
      <c r="Q455" s="30">
        <f t="shared" si="37"/>
        <v>95.35</v>
      </c>
      <c r="R455" s="30">
        <f t="shared" si="38"/>
        <v>97.03</v>
      </c>
      <c r="S455" s="30">
        <f t="shared" si="39"/>
        <v>93.74</v>
      </c>
    </row>
    <row r="456" spans="1:19" s="5" customFormat="1" ht="15.95" customHeight="1" x14ac:dyDescent="0.25">
      <c r="A456" s="24" t="s">
        <v>13</v>
      </c>
      <c r="B456" s="15" t="s">
        <v>12</v>
      </c>
      <c r="C456" s="25" t="s">
        <v>2</v>
      </c>
      <c r="D456" s="26" t="s">
        <v>35</v>
      </c>
      <c r="E456" s="27" t="s">
        <v>5</v>
      </c>
      <c r="F456" s="33">
        <v>221749</v>
      </c>
      <c r="G456" s="33">
        <v>110800</v>
      </c>
      <c r="H456" s="33">
        <v>110949</v>
      </c>
      <c r="I456" s="33">
        <v>19835</v>
      </c>
      <c r="J456" s="33">
        <v>10022</v>
      </c>
      <c r="K456" s="33">
        <v>9813</v>
      </c>
      <c r="L456" s="33">
        <v>175561</v>
      </c>
      <c r="M456" s="33">
        <v>92669</v>
      </c>
      <c r="N456" s="33">
        <v>82892</v>
      </c>
      <c r="O456" s="29">
        <f t="shared" si="35"/>
        <v>1001</v>
      </c>
      <c r="P456" s="29">
        <f t="shared" si="36"/>
        <v>979</v>
      </c>
      <c r="Q456" s="30">
        <f t="shared" si="37"/>
        <v>86.95</v>
      </c>
      <c r="R456" s="30">
        <f t="shared" si="38"/>
        <v>91.95</v>
      </c>
      <c r="S456" s="30">
        <f t="shared" si="39"/>
        <v>81.96</v>
      </c>
    </row>
    <row r="457" spans="1:19" s="5" customFormat="1" ht="15.95" customHeight="1" x14ac:dyDescent="0.25">
      <c r="A457" s="24" t="s">
        <v>13</v>
      </c>
      <c r="B457" s="15" t="s">
        <v>12</v>
      </c>
      <c r="C457" s="25" t="s">
        <v>34</v>
      </c>
      <c r="D457" s="26" t="s">
        <v>33</v>
      </c>
      <c r="E457" s="27" t="s">
        <v>5</v>
      </c>
      <c r="F457" s="33">
        <v>194992</v>
      </c>
      <c r="G457" s="33">
        <v>98642</v>
      </c>
      <c r="H457" s="33">
        <v>96350</v>
      </c>
      <c r="I457" s="33">
        <v>16613</v>
      </c>
      <c r="J457" s="33">
        <v>8465</v>
      </c>
      <c r="K457" s="33">
        <v>8148</v>
      </c>
      <c r="L457" s="33">
        <v>132764</v>
      </c>
      <c r="M457" s="33">
        <v>73805</v>
      </c>
      <c r="N457" s="33">
        <v>58959</v>
      </c>
      <c r="O457" s="29">
        <f t="shared" si="35"/>
        <v>977</v>
      </c>
      <c r="P457" s="29">
        <f t="shared" si="36"/>
        <v>963</v>
      </c>
      <c r="Q457" s="30">
        <f t="shared" si="37"/>
        <v>74.430000000000007</v>
      </c>
      <c r="R457" s="30">
        <f t="shared" si="38"/>
        <v>81.84</v>
      </c>
      <c r="S457" s="30">
        <f t="shared" si="39"/>
        <v>66.849999999999994</v>
      </c>
    </row>
    <row r="458" spans="1:19" s="5" customFormat="1" ht="15.95" customHeight="1" x14ac:dyDescent="0.25">
      <c r="A458" s="24" t="s">
        <v>13</v>
      </c>
      <c r="B458" s="15" t="s">
        <v>12</v>
      </c>
      <c r="C458" s="25" t="s">
        <v>32</v>
      </c>
      <c r="D458" s="26" t="s">
        <v>31</v>
      </c>
      <c r="E458" s="27" t="s">
        <v>5</v>
      </c>
      <c r="F458" s="33">
        <v>181347</v>
      </c>
      <c r="G458" s="33">
        <v>90502</v>
      </c>
      <c r="H458" s="33">
        <v>90845</v>
      </c>
      <c r="I458" s="33">
        <v>16830</v>
      </c>
      <c r="J458" s="33">
        <v>8582</v>
      </c>
      <c r="K458" s="33">
        <v>8248</v>
      </c>
      <c r="L458" s="33">
        <v>148458</v>
      </c>
      <c r="M458" s="33">
        <v>77453</v>
      </c>
      <c r="N458" s="33">
        <v>71005</v>
      </c>
      <c r="O458" s="29">
        <f t="shared" si="35"/>
        <v>1004</v>
      </c>
      <c r="P458" s="29">
        <f t="shared" si="36"/>
        <v>961</v>
      </c>
      <c r="Q458" s="30">
        <f t="shared" si="37"/>
        <v>90.24</v>
      </c>
      <c r="R458" s="30">
        <f t="shared" si="38"/>
        <v>94.55</v>
      </c>
      <c r="S458" s="30">
        <f t="shared" si="39"/>
        <v>85.97</v>
      </c>
    </row>
    <row r="459" spans="1:19" s="5" customFormat="1" ht="15.95" customHeight="1" x14ac:dyDescent="0.25">
      <c r="A459" s="24" t="s">
        <v>13</v>
      </c>
      <c r="B459" s="15" t="s">
        <v>12</v>
      </c>
      <c r="C459" s="25" t="s">
        <v>29</v>
      </c>
      <c r="D459" s="26" t="s">
        <v>30</v>
      </c>
      <c r="E459" s="27" t="s">
        <v>5</v>
      </c>
      <c r="F459" s="33">
        <v>178925</v>
      </c>
      <c r="G459" s="33">
        <v>90350</v>
      </c>
      <c r="H459" s="33">
        <v>88575</v>
      </c>
      <c r="I459" s="33">
        <v>13657</v>
      </c>
      <c r="J459" s="33">
        <v>7201</v>
      </c>
      <c r="K459" s="33">
        <v>6456</v>
      </c>
      <c r="L459" s="33">
        <v>144512</v>
      </c>
      <c r="M459" s="33">
        <v>77473</v>
      </c>
      <c r="N459" s="33">
        <v>67039</v>
      </c>
      <c r="O459" s="29">
        <f t="shared" si="35"/>
        <v>980</v>
      </c>
      <c r="P459" s="29">
        <f t="shared" si="36"/>
        <v>897</v>
      </c>
      <c r="Q459" s="30">
        <f t="shared" si="37"/>
        <v>87.44</v>
      </c>
      <c r="R459" s="30">
        <f t="shared" si="38"/>
        <v>93.17</v>
      </c>
      <c r="S459" s="30">
        <f t="shared" si="39"/>
        <v>81.64</v>
      </c>
    </row>
    <row r="460" spans="1:19" s="5" customFormat="1" ht="15.95" customHeight="1" x14ac:dyDescent="0.25">
      <c r="A460" s="24" t="s">
        <v>13</v>
      </c>
      <c r="B460" s="15" t="s">
        <v>12</v>
      </c>
      <c r="C460" s="25" t="s">
        <v>29</v>
      </c>
      <c r="D460" s="26" t="s">
        <v>28</v>
      </c>
      <c r="E460" s="36" t="s">
        <v>0</v>
      </c>
      <c r="F460" s="28">
        <v>173361</v>
      </c>
      <c r="G460" s="28">
        <v>85593</v>
      </c>
      <c r="H460" s="28">
        <v>87768</v>
      </c>
      <c r="I460" s="28">
        <v>15940</v>
      </c>
      <c r="J460" s="28">
        <v>8153</v>
      </c>
      <c r="K460" s="28">
        <v>7787</v>
      </c>
      <c r="L460" s="28">
        <v>139388</v>
      </c>
      <c r="M460" s="28">
        <v>72083</v>
      </c>
      <c r="N460" s="28">
        <v>67305</v>
      </c>
      <c r="O460" s="29">
        <f t="shared" si="35"/>
        <v>1025</v>
      </c>
      <c r="P460" s="29">
        <f t="shared" si="36"/>
        <v>955</v>
      </c>
      <c r="Q460" s="30">
        <f t="shared" si="37"/>
        <v>88.54</v>
      </c>
      <c r="R460" s="30">
        <f t="shared" si="38"/>
        <v>93.08</v>
      </c>
      <c r="S460" s="30">
        <f t="shared" si="39"/>
        <v>84.15</v>
      </c>
    </row>
    <row r="461" spans="1:19" s="5" customFormat="1" ht="15.95" customHeight="1" x14ac:dyDescent="0.25">
      <c r="A461" s="24" t="s">
        <v>13</v>
      </c>
      <c r="B461" s="15" t="s">
        <v>12</v>
      </c>
      <c r="C461" s="25" t="s">
        <v>27</v>
      </c>
      <c r="D461" s="26" t="s">
        <v>26</v>
      </c>
      <c r="E461" s="27" t="s">
        <v>5</v>
      </c>
      <c r="F461" s="33">
        <v>167098</v>
      </c>
      <c r="G461" s="33">
        <v>82844</v>
      </c>
      <c r="H461" s="33">
        <v>84254</v>
      </c>
      <c r="I461" s="33">
        <v>14552</v>
      </c>
      <c r="J461" s="33">
        <v>7309</v>
      </c>
      <c r="K461" s="33">
        <v>7243</v>
      </c>
      <c r="L461" s="33">
        <v>139008</v>
      </c>
      <c r="M461" s="33">
        <v>71612</v>
      </c>
      <c r="N461" s="33">
        <v>67396</v>
      </c>
      <c r="O461" s="29">
        <f t="shared" si="35"/>
        <v>1017</v>
      </c>
      <c r="P461" s="29">
        <f t="shared" si="36"/>
        <v>991</v>
      </c>
      <c r="Q461" s="30">
        <f t="shared" si="37"/>
        <v>91.13</v>
      </c>
      <c r="R461" s="30">
        <f t="shared" si="38"/>
        <v>94.81</v>
      </c>
      <c r="S461" s="30">
        <f t="shared" si="39"/>
        <v>87.51</v>
      </c>
    </row>
    <row r="462" spans="1:19" s="5" customFormat="1" ht="15.95" customHeight="1" x14ac:dyDescent="0.25">
      <c r="A462" s="24" t="s">
        <v>13</v>
      </c>
      <c r="B462" s="15" t="s">
        <v>12</v>
      </c>
      <c r="C462" s="25" t="s">
        <v>25</v>
      </c>
      <c r="D462" s="41" t="s">
        <v>24</v>
      </c>
      <c r="E462" s="36" t="s">
        <v>0</v>
      </c>
      <c r="F462" s="33">
        <v>144683</v>
      </c>
      <c r="G462" s="33">
        <v>72351</v>
      </c>
      <c r="H462" s="33">
        <v>72332</v>
      </c>
      <c r="I462" s="33">
        <v>14530</v>
      </c>
      <c r="J462" s="33">
        <v>7413</v>
      </c>
      <c r="K462" s="33">
        <v>7117</v>
      </c>
      <c r="L462" s="33">
        <v>106256</v>
      </c>
      <c r="M462" s="33">
        <v>55585</v>
      </c>
      <c r="N462" s="33">
        <v>50671</v>
      </c>
      <c r="O462" s="29">
        <f t="shared" si="35"/>
        <v>1000</v>
      </c>
      <c r="P462" s="29">
        <f t="shared" si="36"/>
        <v>960</v>
      </c>
      <c r="Q462" s="30">
        <f t="shared" si="37"/>
        <v>81.64</v>
      </c>
      <c r="R462" s="30">
        <f t="shared" si="38"/>
        <v>85.6</v>
      </c>
      <c r="S462" s="30">
        <f t="shared" si="39"/>
        <v>77.7</v>
      </c>
    </row>
    <row r="463" spans="1:19" s="5" customFormat="1" ht="15.95" customHeight="1" x14ac:dyDescent="0.25">
      <c r="A463" s="24" t="s">
        <v>13</v>
      </c>
      <c r="B463" s="15" t="s">
        <v>12</v>
      </c>
      <c r="C463" s="25" t="s">
        <v>23</v>
      </c>
      <c r="D463" s="26" t="s">
        <v>22</v>
      </c>
      <c r="E463" s="27" t="s">
        <v>5</v>
      </c>
      <c r="F463" s="33">
        <v>135235</v>
      </c>
      <c r="G463" s="33">
        <v>67260</v>
      </c>
      <c r="H463" s="33">
        <v>67975</v>
      </c>
      <c r="I463" s="33">
        <v>11031</v>
      </c>
      <c r="J463" s="33">
        <v>5683</v>
      </c>
      <c r="K463" s="33">
        <v>5348</v>
      </c>
      <c r="L463" s="33">
        <v>109900</v>
      </c>
      <c r="M463" s="33">
        <v>57352</v>
      </c>
      <c r="N463" s="33">
        <v>52548</v>
      </c>
      <c r="O463" s="29">
        <f t="shared" si="35"/>
        <v>1011</v>
      </c>
      <c r="P463" s="29">
        <f t="shared" si="36"/>
        <v>941</v>
      </c>
      <c r="Q463" s="30">
        <f t="shared" si="37"/>
        <v>88.48</v>
      </c>
      <c r="R463" s="30">
        <f t="shared" si="38"/>
        <v>93.14</v>
      </c>
      <c r="S463" s="30">
        <f t="shared" si="39"/>
        <v>83.91</v>
      </c>
    </row>
    <row r="464" spans="1:19" s="5" customFormat="1" ht="15.95" customHeight="1" x14ac:dyDescent="0.25">
      <c r="A464" s="24" t="s">
        <v>13</v>
      </c>
      <c r="B464" s="15" t="s">
        <v>12</v>
      </c>
      <c r="C464" s="25" t="s">
        <v>21</v>
      </c>
      <c r="D464" s="41" t="s">
        <v>20</v>
      </c>
      <c r="E464" s="36" t="s">
        <v>0</v>
      </c>
      <c r="F464" s="28">
        <v>130119</v>
      </c>
      <c r="G464" s="28">
        <v>64624</v>
      </c>
      <c r="H464" s="28">
        <v>65495</v>
      </c>
      <c r="I464" s="28">
        <v>10504</v>
      </c>
      <c r="J464" s="28">
        <v>5371</v>
      </c>
      <c r="K464" s="28">
        <v>5133</v>
      </c>
      <c r="L464" s="28">
        <v>103172</v>
      </c>
      <c r="M464" s="28">
        <v>54622</v>
      </c>
      <c r="N464" s="28">
        <v>48550</v>
      </c>
      <c r="O464" s="29">
        <f t="shared" si="35"/>
        <v>1013</v>
      </c>
      <c r="P464" s="29">
        <f t="shared" si="36"/>
        <v>956</v>
      </c>
      <c r="Q464" s="30">
        <f t="shared" si="37"/>
        <v>86.25</v>
      </c>
      <c r="R464" s="30">
        <f t="shared" si="38"/>
        <v>92.18</v>
      </c>
      <c r="S464" s="30">
        <f t="shared" si="39"/>
        <v>80.430000000000007</v>
      </c>
    </row>
    <row r="465" spans="1:19" s="5" customFormat="1" ht="15.95" customHeight="1" x14ac:dyDescent="0.25">
      <c r="A465" s="24" t="s">
        <v>13</v>
      </c>
      <c r="B465" s="15" t="s">
        <v>12</v>
      </c>
      <c r="C465" s="25" t="s">
        <v>15</v>
      </c>
      <c r="D465" s="26" t="s">
        <v>19</v>
      </c>
      <c r="E465" s="27" t="s">
        <v>5</v>
      </c>
      <c r="F465" s="33">
        <v>124274</v>
      </c>
      <c r="G465" s="33">
        <v>61564</v>
      </c>
      <c r="H465" s="33">
        <v>62710</v>
      </c>
      <c r="I465" s="33">
        <v>11876</v>
      </c>
      <c r="J465" s="33">
        <v>6014</v>
      </c>
      <c r="K465" s="33">
        <v>5862</v>
      </c>
      <c r="L465" s="33">
        <v>95231</v>
      </c>
      <c r="M465" s="33">
        <v>50296</v>
      </c>
      <c r="N465" s="33">
        <v>44935</v>
      </c>
      <c r="O465" s="29">
        <f t="shared" si="35"/>
        <v>1019</v>
      </c>
      <c r="P465" s="29">
        <f t="shared" si="36"/>
        <v>975</v>
      </c>
      <c r="Q465" s="30">
        <f t="shared" si="37"/>
        <v>84.73</v>
      </c>
      <c r="R465" s="30">
        <f t="shared" si="38"/>
        <v>90.54</v>
      </c>
      <c r="S465" s="30">
        <f t="shared" si="39"/>
        <v>79.040000000000006</v>
      </c>
    </row>
    <row r="466" spans="1:19" s="5" customFormat="1" ht="15.95" customHeight="1" x14ac:dyDescent="0.25">
      <c r="A466" s="24" t="s">
        <v>13</v>
      </c>
      <c r="B466" s="15" t="s">
        <v>12</v>
      </c>
      <c r="C466" s="25" t="s">
        <v>18</v>
      </c>
      <c r="D466" s="26" t="s">
        <v>17</v>
      </c>
      <c r="E466" s="36" t="s">
        <v>0</v>
      </c>
      <c r="F466" s="33">
        <v>117215</v>
      </c>
      <c r="G466" s="33">
        <v>58601</v>
      </c>
      <c r="H466" s="33">
        <v>58614</v>
      </c>
      <c r="I466" s="33">
        <v>10853</v>
      </c>
      <c r="J466" s="33">
        <v>5566</v>
      </c>
      <c r="K466" s="33">
        <v>5287</v>
      </c>
      <c r="L466" s="33">
        <v>98054</v>
      </c>
      <c r="M466" s="33">
        <v>50798</v>
      </c>
      <c r="N466" s="33">
        <v>47256</v>
      </c>
      <c r="O466" s="29">
        <f t="shared" si="35"/>
        <v>1000</v>
      </c>
      <c r="P466" s="29">
        <f t="shared" si="36"/>
        <v>950</v>
      </c>
      <c r="Q466" s="30">
        <f t="shared" si="37"/>
        <v>92.19</v>
      </c>
      <c r="R466" s="30">
        <f t="shared" si="38"/>
        <v>95.78</v>
      </c>
      <c r="S466" s="30">
        <f t="shared" si="39"/>
        <v>88.62</v>
      </c>
    </row>
    <row r="467" spans="1:19" s="5" customFormat="1" ht="15.95" customHeight="1" x14ac:dyDescent="0.25">
      <c r="A467" s="24" t="s">
        <v>13</v>
      </c>
      <c r="B467" s="15" t="s">
        <v>12</v>
      </c>
      <c r="C467" s="25" t="s">
        <v>15</v>
      </c>
      <c r="D467" s="26" t="s">
        <v>16</v>
      </c>
      <c r="E467" s="27" t="s">
        <v>5</v>
      </c>
      <c r="F467" s="33">
        <v>116712</v>
      </c>
      <c r="G467" s="33">
        <v>57746</v>
      </c>
      <c r="H467" s="33">
        <v>58966</v>
      </c>
      <c r="I467" s="33">
        <v>13898</v>
      </c>
      <c r="J467" s="33">
        <v>7139</v>
      </c>
      <c r="K467" s="33">
        <v>6759</v>
      </c>
      <c r="L467" s="33">
        <v>86835</v>
      </c>
      <c r="M467" s="33">
        <v>45118</v>
      </c>
      <c r="N467" s="33">
        <v>41717</v>
      </c>
      <c r="O467" s="29">
        <f t="shared" si="35"/>
        <v>1021</v>
      </c>
      <c r="P467" s="29">
        <f t="shared" si="36"/>
        <v>947</v>
      </c>
      <c r="Q467" s="30">
        <f t="shared" si="37"/>
        <v>84.46</v>
      </c>
      <c r="R467" s="30">
        <f t="shared" si="38"/>
        <v>89.15</v>
      </c>
      <c r="S467" s="30">
        <f t="shared" si="39"/>
        <v>79.91</v>
      </c>
    </row>
    <row r="468" spans="1:19" s="5" customFormat="1" ht="15.95" customHeight="1" x14ac:dyDescent="0.25">
      <c r="A468" s="24" t="s">
        <v>13</v>
      </c>
      <c r="B468" s="15" t="s">
        <v>12</v>
      </c>
      <c r="C468" s="25" t="s">
        <v>15</v>
      </c>
      <c r="D468" s="26" t="s">
        <v>14</v>
      </c>
      <c r="E468" s="36" t="s">
        <v>0</v>
      </c>
      <c r="F468" s="33">
        <v>113856</v>
      </c>
      <c r="G468" s="33">
        <v>56052</v>
      </c>
      <c r="H468" s="33">
        <v>57804</v>
      </c>
      <c r="I468" s="33">
        <v>12150</v>
      </c>
      <c r="J468" s="33">
        <v>6216</v>
      </c>
      <c r="K468" s="33">
        <v>5934</v>
      </c>
      <c r="L468" s="33">
        <v>88309</v>
      </c>
      <c r="M468" s="33">
        <v>45439</v>
      </c>
      <c r="N468" s="33">
        <v>42870</v>
      </c>
      <c r="O468" s="29">
        <f t="shared" si="35"/>
        <v>1031</v>
      </c>
      <c r="P468" s="29">
        <f t="shared" si="36"/>
        <v>955</v>
      </c>
      <c r="Q468" s="30">
        <f t="shared" si="37"/>
        <v>86.83</v>
      </c>
      <c r="R468" s="30">
        <f t="shared" si="38"/>
        <v>91.18</v>
      </c>
      <c r="S468" s="30">
        <f t="shared" si="39"/>
        <v>82.65</v>
      </c>
    </row>
    <row r="469" spans="1:19" s="5" customFormat="1" ht="15.95" customHeight="1" x14ac:dyDescent="0.25">
      <c r="A469" s="24" t="s">
        <v>13</v>
      </c>
      <c r="B469" s="15" t="s">
        <v>12</v>
      </c>
      <c r="C469" s="25" t="s">
        <v>11</v>
      </c>
      <c r="D469" s="26" t="s">
        <v>10</v>
      </c>
      <c r="E469" s="36" t="s">
        <v>0</v>
      </c>
      <c r="F469" s="33">
        <v>102838</v>
      </c>
      <c r="G469" s="33">
        <v>50809</v>
      </c>
      <c r="H469" s="33">
        <v>52029</v>
      </c>
      <c r="I469" s="33">
        <v>11308</v>
      </c>
      <c r="J469" s="33">
        <v>5858</v>
      </c>
      <c r="K469" s="33">
        <v>5450</v>
      </c>
      <c r="L469" s="33">
        <v>81913</v>
      </c>
      <c r="M469" s="33">
        <v>42374</v>
      </c>
      <c r="N469" s="33">
        <v>39539</v>
      </c>
      <c r="O469" s="29">
        <f t="shared" si="35"/>
        <v>1024</v>
      </c>
      <c r="P469" s="29">
        <f t="shared" si="36"/>
        <v>930</v>
      </c>
      <c r="Q469" s="30">
        <f t="shared" si="37"/>
        <v>89.49</v>
      </c>
      <c r="R469" s="30">
        <f t="shared" si="38"/>
        <v>94.27</v>
      </c>
      <c r="S469" s="30">
        <f t="shared" si="39"/>
        <v>84.89</v>
      </c>
    </row>
    <row r="470" spans="1:19" s="5" customFormat="1" ht="15.95" customHeight="1" x14ac:dyDescent="0.25">
      <c r="A470" s="87" t="s">
        <v>9</v>
      </c>
      <c r="B470" s="15" t="s">
        <v>8</v>
      </c>
      <c r="C470" s="40" t="s">
        <v>7</v>
      </c>
      <c r="D470" s="32" t="s">
        <v>6</v>
      </c>
      <c r="E470" s="27" t="s">
        <v>5</v>
      </c>
      <c r="F470" s="33">
        <v>654392</v>
      </c>
      <c r="G470" s="33">
        <v>321834</v>
      </c>
      <c r="H470" s="33">
        <v>332558</v>
      </c>
      <c r="I470" s="33">
        <v>63879</v>
      </c>
      <c r="J470" s="33">
        <v>32359</v>
      </c>
      <c r="K470" s="33">
        <v>31520</v>
      </c>
      <c r="L470" s="33">
        <v>526252</v>
      </c>
      <c r="M470" s="33">
        <v>272575</v>
      </c>
      <c r="N470" s="33">
        <v>253677</v>
      </c>
      <c r="O470" s="29">
        <f t="shared" si="35"/>
        <v>1033</v>
      </c>
      <c r="P470" s="29">
        <f t="shared" si="36"/>
        <v>974</v>
      </c>
      <c r="Q470" s="30">
        <f t="shared" si="37"/>
        <v>89.12</v>
      </c>
      <c r="R470" s="30">
        <f t="shared" si="38"/>
        <v>94.16</v>
      </c>
      <c r="S470" s="30">
        <f t="shared" si="39"/>
        <v>84.27</v>
      </c>
    </row>
    <row r="471" spans="1:19" s="5" customFormat="1" ht="15.95" customHeight="1" x14ac:dyDescent="0.25">
      <c r="A471" s="88" t="s">
        <v>4</v>
      </c>
      <c r="B471" s="19" t="s">
        <v>3</v>
      </c>
      <c r="C471" s="89" t="s">
        <v>2</v>
      </c>
      <c r="D471" s="41" t="s">
        <v>1</v>
      </c>
      <c r="E471" s="36" t="s">
        <v>0</v>
      </c>
      <c r="F471" s="42">
        <v>100608</v>
      </c>
      <c r="G471" s="42">
        <v>53247</v>
      </c>
      <c r="H471" s="42">
        <v>47361</v>
      </c>
      <c r="I471" s="42">
        <v>9358</v>
      </c>
      <c r="J471" s="42">
        <v>4852</v>
      </c>
      <c r="K471" s="42">
        <v>4506</v>
      </c>
      <c r="L471" s="42">
        <v>81908</v>
      </c>
      <c r="M471" s="42">
        <v>44908</v>
      </c>
      <c r="N471" s="42">
        <v>37000</v>
      </c>
      <c r="O471" s="29">
        <f t="shared" si="35"/>
        <v>889</v>
      </c>
      <c r="P471" s="29">
        <f t="shared" si="36"/>
        <v>929</v>
      </c>
      <c r="Q471" s="30">
        <f t="shared" si="37"/>
        <v>89.76</v>
      </c>
      <c r="R471" s="30">
        <f t="shared" si="38"/>
        <v>92.79</v>
      </c>
      <c r="S471" s="30">
        <f t="shared" si="39"/>
        <v>86.34</v>
      </c>
    </row>
    <row r="472" spans="1:19" x14ac:dyDescent="0.2">
      <c r="A472" s="3"/>
      <c r="F472" s="4"/>
      <c r="G472" s="4"/>
      <c r="H472" s="4"/>
      <c r="I472" s="4"/>
      <c r="J472" s="4"/>
      <c r="K472" s="4"/>
    </row>
    <row r="473" spans="1:19" x14ac:dyDescent="0.2">
      <c r="A473" s="3"/>
    </row>
  </sheetData>
  <mergeCells count="1">
    <mergeCell ref="A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5BDA-C25E-451F-84CB-40E8E1387DE8}">
  <dimension ref="A1:U31"/>
  <sheetViews>
    <sheetView tabSelected="1" workbookViewId="0">
      <selection activeCell="C1" sqref="C1"/>
    </sheetView>
  </sheetViews>
  <sheetFormatPr defaultRowHeight="15" x14ac:dyDescent="0.25"/>
  <cols>
    <col min="1" max="1" width="20.5703125" customWidth="1"/>
    <col min="2" max="2" width="19.140625" customWidth="1"/>
    <col min="3" max="21" width="25.28515625" customWidth="1"/>
  </cols>
  <sheetData>
    <row r="1" spans="1:21" ht="33" customHeight="1" x14ac:dyDescent="0.25">
      <c r="A1" s="91" t="s">
        <v>580</v>
      </c>
      <c r="B1" s="14" t="s">
        <v>580</v>
      </c>
      <c r="C1" s="14" t="s">
        <v>581</v>
      </c>
      <c r="D1" s="14" t="s">
        <v>580</v>
      </c>
      <c r="E1" s="20" t="s">
        <v>579</v>
      </c>
      <c r="F1" s="21" t="s">
        <v>578</v>
      </c>
      <c r="G1" s="21" t="s">
        <v>577</v>
      </c>
      <c r="H1" s="22" t="s">
        <v>576</v>
      </c>
      <c r="I1" s="22" t="s">
        <v>575</v>
      </c>
      <c r="J1" s="22" t="s">
        <v>574</v>
      </c>
      <c r="K1" s="22" t="s">
        <v>573</v>
      </c>
      <c r="L1" s="22" t="s">
        <v>572</v>
      </c>
      <c r="M1" s="22" t="s">
        <v>571</v>
      </c>
      <c r="N1" s="22" t="s">
        <v>570</v>
      </c>
      <c r="O1" s="22" t="s">
        <v>569</v>
      </c>
      <c r="P1" s="22" t="s">
        <v>568</v>
      </c>
      <c r="Q1" s="23" t="s">
        <v>567</v>
      </c>
      <c r="R1" s="23" t="s">
        <v>566</v>
      </c>
      <c r="S1" s="22" t="s">
        <v>565</v>
      </c>
      <c r="T1" s="22" t="s">
        <v>564</v>
      </c>
      <c r="U1" s="22" t="s">
        <v>563</v>
      </c>
    </row>
    <row r="2" spans="1:21" ht="15.75" customHeight="1" x14ac:dyDescent="0.25">
      <c r="A2" s="92" t="s">
        <v>560</v>
      </c>
      <c r="B2" s="90" t="s">
        <v>315</v>
      </c>
      <c r="C2" s="62">
        <v>19</v>
      </c>
      <c r="D2" s="15" t="s">
        <v>315</v>
      </c>
      <c r="E2" s="63">
        <v>99</v>
      </c>
      <c r="F2" s="26" t="s">
        <v>343</v>
      </c>
      <c r="G2" s="27" t="s">
        <v>5</v>
      </c>
      <c r="H2" s="64">
        <v>14112536</v>
      </c>
      <c r="I2" s="64">
        <v>7319682</v>
      </c>
      <c r="J2" s="64">
        <v>6792854</v>
      </c>
      <c r="K2" s="64">
        <v>1063394</v>
      </c>
      <c r="L2" s="64">
        <v>546373</v>
      </c>
      <c r="M2" s="64">
        <v>517021</v>
      </c>
      <c r="N2" s="64">
        <v>11526635</v>
      </c>
      <c r="O2" s="64">
        <v>6159091</v>
      </c>
      <c r="P2" s="64">
        <v>5367544</v>
      </c>
      <c r="Q2" s="29">
        <v>928</v>
      </c>
      <c r="R2" s="29">
        <v>946</v>
      </c>
      <c r="S2" s="30">
        <v>88.33</v>
      </c>
      <c r="T2" s="30">
        <v>90.93</v>
      </c>
      <c r="U2" s="30">
        <v>85.53</v>
      </c>
    </row>
    <row r="3" spans="1:21" x14ac:dyDescent="0.25">
      <c r="A3" s="15" t="s">
        <v>558</v>
      </c>
      <c r="C3" s="62">
        <v>19</v>
      </c>
      <c r="D3" s="15" t="s">
        <v>315</v>
      </c>
      <c r="E3" s="65" t="s">
        <v>55</v>
      </c>
      <c r="F3" s="26" t="s">
        <v>342</v>
      </c>
      <c r="G3" s="27" t="s">
        <v>5</v>
      </c>
      <c r="H3" s="47">
        <v>1243008</v>
      </c>
      <c r="I3" s="47">
        <v>647831</v>
      </c>
      <c r="J3" s="47">
        <v>595177</v>
      </c>
      <c r="K3" s="47">
        <v>132560</v>
      </c>
      <c r="L3" s="47">
        <v>69051</v>
      </c>
      <c r="M3" s="47">
        <v>63509</v>
      </c>
      <c r="N3" s="47">
        <v>888324</v>
      </c>
      <c r="O3" s="47">
        <v>499532</v>
      </c>
      <c r="P3" s="47">
        <v>388792</v>
      </c>
      <c r="Q3" s="29">
        <v>919</v>
      </c>
      <c r="R3" s="29">
        <v>920</v>
      </c>
      <c r="S3" s="30">
        <v>80</v>
      </c>
      <c r="T3" s="30">
        <v>86.31</v>
      </c>
      <c r="U3" s="30">
        <v>73.13</v>
      </c>
    </row>
    <row r="4" spans="1:21" x14ac:dyDescent="0.25">
      <c r="A4" s="15" t="s">
        <v>539</v>
      </c>
      <c r="C4" s="62">
        <v>19</v>
      </c>
      <c r="D4" s="15" t="s">
        <v>315</v>
      </c>
      <c r="E4" s="62" t="s">
        <v>313</v>
      </c>
      <c r="F4" s="26" t="s">
        <v>341</v>
      </c>
      <c r="G4" s="27" t="s">
        <v>5</v>
      </c>
      <c r="H4" s="47">
        <v>701489</v>
      </c>
      <c r="I4" s="47">
        <v>359750</v>
      </c>
      <c r="J4" s="47">
        <v>341739</v>
      </c>
      <c r="K4" s="47">
        <v>72252</v>
      </c>
      <c r="L4" s="47">
        <v>37355</v>
      </c>
      <c r="M4" s="47">
        <v>34897</v>
      </c>
      <c r="N4" s="47">
        <v>516297</v>
      </c>
      <c r="O4" s="47">
        <v>278087</v>
      </c>
      <c r="P4" s="47">
        <v>238210</v>
      </c>
      <c r="Q4" s="29">
        <v>950</v>
      </c>
      <c r="R4" s="29">
        <v>934</v>
      </c>
      <c r="S4" s="30">
        <v>82.05</v>
      </c>
      <c r="T4" s="30">
        <v>86.26</v>
      </c>
      <c r="U4" s="30">
        <v>77.63</v>
      </c>
    </row>
    <row r="5" spans="1:21" ht="18.75" customHeight="1" x14ac:dyDescent="0.25">
      <c r="A5" s="15" t="s">
        <v>537</v>
      </c>
      <c r="C5" s="62">
        <v>19</v>
      </c>
      <c r="D5" s="15" t="s">
        <v>315</v>
      </c>
      <c r="E5" s="65" t="s">
        <v>55</v>
      </c>
      <c r="F5" s="26" t="s">
        <v>340</v>
      </c>
      <c r="G5" s="27" t="s">
        <v>5</v>
      </c>
      <c r="H5" s="47">
        <v>581409</v>
      </c>
      <c r="I5" s="47">
        <v>301700</v>
      </c>
      <c r="J5" s="47">
        <v>279709</v>
      </c>
      <c r="K5" s="47">
        <v>51930</v>
      </c>
      <c r="L5" s="47">
        <v>26688</v>
      </c>
      <c r="M5" s="47">
        <v>25242</v>
      </c>
      <c r="N5" s="47">
        <v>464340</v>
      </c>
      <c r="O5" s="47">
        <v>253051</v>
      </c>
      <c r="P5" s="47">
        <v>211289</v>
      </c>
      <c r="Q5" s="29">
        <v>927</v>
      </c>
      <c r="R5" s="29">
        <v>946</v>
      </c>
      <c r="S5" s="30">
        <v>87.7</v>
      </c>
      <c r="T5" s="30">
        <v>92.01</v>
      </c>
      <c r="U5" s="30">
        <v>83.03</v>
      </c>
    </row>
    <row r="6" spans="1:21" ht="19.5" customHeight="1" x14ac:dyDescent="0.25">
      <c r="A6" s="15" t="s">
        <v>529</v>
      </c>
      <c r="C6" s="62">
        <v>19</v>
      </c>
      <c r="D6" s="15" t="s">
        <v>315</v>
      </c>
      <c r="E6" s="65" t="s">
        <v>55</v>
      </c>
      <c r="F6" s="26" t="s">
        <v>339</v>
      </c>
      <c r="G6" s="27" t="s">
        <v>5</v>
      </c>
      <c r="H6" s="47">
        <v>347016</v>
      </c>
      <c r="I6" s="47">
        <v>177055</v>
      </c>
      <c r="J6" s="47">
        <v>169961</v>
      </c>
      <c r="K6" s="47">
        <v>25069</v>
      </c>
      <c r="L6" s="47">
        <v>12900</v>
      </c>
      <c r="M6" s="47">
        <v>12169</v>
      </c>
      <c r="N6" s="47">
        <v>285300</v>
      </c>
      <c r="O6" s="47">
        <v>151395</v>
      </c>
      <c r="P6" s="47">
        <v>133905</v>
      </c>
      <c r="Q6" s="29">
        <v>960</v>
      </c>
      <c r="R6" s="29">
        <v>943</v>
      </c>
      <c r="S6" s="30">
        <v>88.62</v>
      </c>
      <c r="T6" s="30">
        <v>92.23</v>
      </c>
      <c r="U6" s="30">
        <v>84.86</v>
      </c>
    </row>
    <row r="7" spans="1:21" ht="17.25" customHeight="1" x14ac:dyDescent="0.25">
      <c r="A7" s="15" t="s">
        <v>509</v>
      </c>
      <c r="C7" s="62">
        <v>19</v>
      </c>
      <c r="D7" s="15" t="s">
        <v>315</v>
      </c>
      <c r="E7" s="62" t="s">
        <v>74</v>
      </c>
      <c r="F7" s="26" t="s">
        <v>338</v>
      </c>
      <c r="G7" s="27" t="s">
        <v>5</v>
      </c>
      <c r="H7" s="47">
        <v>324237</v>
      </c>
      <c r="I7" s="47">
        <v>175073</v>
      </c>
      <c r="J7" s="47">
        <v>149164</v>
      </c>
      <c r="K7" s="47">
        <v>44186</v>
      </c>
      <c r="L7" s="47">
        <v>24262</v>
      </c>
      <c r="M7" s="47">
        <v>19924</v>
      </c>
      <c r="N7" s="47">
        <v>227726</v>
      </c>
      <c r="O7" s="47">
        <v>123824</v>
      </c>
      <c r="P7" s="47">
        <v>103902</v>
      </c>
      <c r="Q7" s="29">
        <v>852</v>
      </c>
      <c r="R7" s="29">
        <v>821</v>
      </c>
      <c r="S7" s="30">
        <v>81.319999999999993</v>
      </c>
      <c r="T7" s="30">
        <v>82.11</v>
      </c>
      <c r="U7" s="30">
        <v>80.39</v>
      </c>
    </row>
    <row r="8" spans="1:21" ht="17.25" customHeight="1" x14ac:dyDescent="0.25">
      <c r="A8" s="15" t="s">
        <v>507</v>
      </c>
      <c r="C8" s="62">
        <v>19</v>
      </c>
      <c r="D8" s="15" t="s">
        <v>315</v>
      </c>
      <c r="E8" s="62" t="s">
        <v>57</v>
      </c>
      <c r="F8" s="26" t="s">
        <v>337</v>
      </c>
      <c r="G8" s="27" t="s">
        <v>5</v>
      </c>
      <c r="H8" s="47">
        <v>305609</v>
      </c>
      <c r="I8" s="47">
        <v>156489</v>
      </c>
      <c r="J8" s="47">
        <v>149120</v>
      </c>
      <c r="K8" s="47">
        <v>23182</v>
      </c>
      <c r="L8" s="47">
        <v>11877</v>
      </c>
      <c r="M8" s="47">
        <v>11305</v>
      </c>
      <c r="N8" s="47">
        <v>249617</v>
      </c>
      <c r="O8" s="47">
        <v>131561</v>
      </c>
      <c r="P8" s="47">
        <v>118056</v>
      </c>
      <c r="Q8" s="29">
        <v>953</v>
      </c>
      <c r="R8" s="29">
        <v>952</v>
      </c>
      <c r="S8" s="30">
        <v>88.38</v>
      </c>
      <c r="T8" s="30">
        <v>90.98</v>
      </c>
      <c r="U8" s="30">
        <v>85.66</v>
      </c>
    </row>
    <row r="9" spans="1:21" x14ac:dyDescent="0.25">
      <c r="A9" s="15" t="s">
        <v>476</v>
      </c>
      <c r="C9" s="62">
        <v>19</v>
      </c>
      <c r="D9" s="15" t="s">
        <v>315</v>
      </c>
      <c r="E9" s="65" t="s">
        <v>48</v>
      </c>
      <c r="F9" s="26" t="s">
        <v>336</v>
      </c>
      <c r="G9" s="27" t="s">
        <v>5</v>
      </c>
      <c r="H9" s="47">
        <v>304584</v>
      </c>
      <c r="I9" s="47">
        <v>154861</v>
      </c>
      <c r="J9" s="47">
        <v>149723</v>
      </c>
      <c r="K9" s="47">
        <v>23023</v>
      </c>
      <c r="L9" s="47">
        <v>11864</v>
      </c>
      <c r="M9" s="47">
        <v>11159</v>
      </c>
      <c r="N9" s="47">
        <v>256313</v>
      </c>
      <c r="O9" s="47">
        <v>134864</v>
      </c>
      <c r="P9" s="47">
        <v>121449</v>
      </c>
      <c r="Q9" s="29">
        <v>967</v>
      </c>
      <c r="R9" s="29">
        <v>941</v>
      </c>
      <c r="S9" s="30">
        <v>91.03</v>
      </c>
      <c r="T9" s="30">
        <v>94.31</v>
      </c>
      <c r="U9" s="30">
        <v>87.65</v>
      </c>
    </row>
    <row r="10" spans="1:21" x14ac:dyDescent="0.25">
      <c r="A10" s="15" t="s">
        <v>393</v>
      </c>
      <c r="C10" s="62">
        <v>19</v>
      </c>
      <c r="D10" s="15" t="s">
        <v>315</v>
      </c>
      <c r="E10" s="63" t="s">
        <v>123</v>
      </c>
      <c r="F10" s="26" t="s">
        <v>335</v>
      </c>
      <c r="G10" s="27" t="s">
        <v>5</v>
      </c>
      <c r="H10" s="47">
        <v>293719</v>
      </c>
      <c r="I10" s="47">
        <v>150487</v>
      </c>
      <c r="J10" s="47">
        <v>143232</v>
      </c>
      <c r="K10" s="47">
        <v>25130</v>
      </c>
      <c r="L10" s="47">
        <v>12923</v>
      </c>
      <c r="M10" s="47">
        <v>12207</v>
      </c>
      <c r="N10" s="47">
        <v>229952</v>
      </c>
      <c r="O10" s="47">
        <v>124412</v>
      </c>
      <c r="P10" s="47">
        <v>105540</v>
      </c>
      <c r="Q10" s="29">
        <v>952</v>
      </c>
      <c r="R10" s="29">
        <v>945</v>
      </c>
      <c r="S10" s="30">
        <v>85.61</v>
      </c>
      <c r="T10" s="30">
        <v>90.44</v>
      </c>
      <c r="U10" s="30">
        <v>80.55</v>
      </c>
    </row>
    <row r="11" spans="1:21" x14ac:dyDescent="0.25">
      <c r="A11" s="15" t="s">
        <v>363</v>
      </c>
      <c r="C11" s="62">
        <v>19</v>
      </c>
      <c r="D11" s="15" t="s">
        <v>315</v>
      </c>
      <c r="E11" s="65" t="s">
        <v>41</v>
      </c>
      <c r="F11" s="26" t="s">
        <v>334</v>
      </c>
      <c r="G11" s="27" t="s">
        <v>5</v>
      </c>
      <c r="H11" s="47">
        <v>288718</v>
      </c>
      <c r="I11" s="47">
        <v>147299</v>
      </c>
      <c r="J11" s="47">
        <v>141419</v>
      </c>
      <c r="K11" s="47">
        <v>24006</v>
      </c>
      <c r="L11" s="47">
        <v>12303</v>
      </c>
      <c r="M11" s="47">
        <v>11703</v>
      </c>
      <c r="N11" s="47">
        <v>218828</v>
      </c>
      <c r="O11" s="47">
        <v>117371</v>
      </c>
      <c r="P11" s="47">
        <v>101457</v>
      </c>
      <c r="Q11" s="29">
        <v>960</v>
      </c>
      <c r="R11" s="29">
        <v>951</v>
      </c>
      <c r="S11" s="30">
        <v>82.67</v>
      </c>
      <c r="T11" s="30">
        <v>86.94</v>
      </c>
      <c r="U11" s="30">
        <v>78.209999999999994</v>
      </c>
    </row>
    <row r="12" spans="1:21" x14ac:dyDescent="0.25">
      <c r="A12" s="16" t="s">
        <v>361</v>
      </c>
      <c r="C12" s="62">
        <v>19</v>
      </c>
      <c r="D12" s="15" t="s">
        <v>315</v>
      </c>
      <c r="E12" s="65" t="s">
        <v>43</v>
      </c>
      <c r="F12" s="26" t="s">
        <v>333</v>
      </c>
      <c r="G12" s="27" t="s">
        <v>5</v>
      </c>
      <c r="H12" s="47">
        <v>249840</v>
      </c>
      <c r="I12" s="47">
        <v>128139</v>
      </c>
      <c r="J12" s="47">
        <v>121701</v>
      </c>
      <c r="K12" s="47">
        <v>22956</v>
      </c>
      <c r="L12" s="47">
        <v>11827</v>
      </c>
      <c r="M12" s="47">
        <v>11129</v>
      </c>
      <c r="N12" s="47">
        <v>194410</v>
      </c>
      <c r="O12" s="47">
        <v>103668</v>
      </c>
      <c r="P12" s="47">
        <v>90742</v>
      </c>
      <c r="Q12" s="29">
        <v>950</v>
      </c>
      <c r="R12" s="29">
        <v>941</v>
      </c>
      <c r="S12" s="30">
        <v>85.69</v>
      </c>
      <c r="T12" s="30">
        <v>89.13</v>
      </c>
      <c r="U12" s="30">
        <v>82.07</v>
      </c>
    </row>
    <row r="13" spans="1:21" x14ac:dyDescent="0.25">
      <c r="A13" s="15" t="s">
        <v>359</v>
      </c>
      <c r="C13" s="62">
        <v>19</v>
      </c>
      <c r="D13" s="15" t="s">
        <v>315</v>
      </c>
      <c r="E13" s="62" t="s">
        <v>57</v>
      </c>
      <c r="F13" s="26" t="s">
        <v>332</v>
      </c>
      <c r="G13" s="27" t="s">
        <v>5</v>
      </c>
      <c r="H13" s="47">
        <v>239022</v>
      </c>
      <c r="I13" s="47">
        <v>119151</v>
      </c>
      <c r="J13" s="47">
        <v>119871</v>
      </c>
      <c r="K13" s="47">
        <v>45483</v>
      </c>
      <c r="L13" s="47">
        <v>22981</v>
      </c>
      <c r="M13" s="47">
        <v>22502</v>
      </c>
      <c r="N13" s="47">
        <v>116233</v>
      </c>
      <c r="O13" s="47">
        <v>63607</v>
      </c>
      <c r="P13" s="47">
        <v>52626</v>
      </c>
      <c r="Q13" s="29">
        <v>1006</v>
      </c>
      <c r="R13" s="29">
        <v>979</v>
      </c>
      <c r="S13" s="30">
        <v>60.06</v>
      </c>
      <c r="T13" s="30">
        <v>66.14</v>
      </c>
      <c r="U13" s="30">
        <v>54.05</v>
      </c>
    </row>
    <row r="14" spans="1:21" x14ac:dyDescent="0.25">
      <c r="A14" s="17" t="s">
        <v>357</v>
      </c>
      <c r="C14" s="62">
        <v>19</v>
      </c>
      <c r="D14" s="15" t="s">
        <v>315</v>
      </c>
      <c r="E14" s="65" t="s">
        <v>41</v>
      </c>
      <c r="F14" s="26" t="s">
        <v>331</v>
      </c>
      <c r="G14" s="27" t="s">
        <v>5</v>
      </c>
      <c r="H14" s="47">
        <v>235583</v>
      </c>
      <c r="I14" s="47">
        <v>119578</v>
      </c>
      <c r="J14" s="47">
        <v>116005</v>
      </c>
      <c r="K14" s="47">
        <v>18575</v>
      </c>
      <c r="L14" s="47">
        <v>9601</v>
      </c>
      <c r="M14" s="47">
        <v>8974</v>
      </c>
      <c r="N14" s="47">
        <v>186844</v>
      </c>
      <c r="O14" s="47">
        <v>98723</v>
      </c>
      <c r="P14" s="47">
        <v>88121</v>
      </c>
      <c r="Q14" s="29">
        <v>970</v>
      </c>
      <c r="R14" s="29">
        <v>935</v>
      </c>
      <c r="S14" s="30">
        <v>86.1</v>
      </c>
      <c r="T14" s="30">
        <v>89.77</v>
      </c>
      <c r="U14" s="30">
        <v>82.33</v>
      </c>
    </row>
    <row r="15" spans="1:21" x14ac:dyDescent="0.25">
      <c r="A15" s="17" t="s">
        <v>355</v>
      </c>
      <c r="C15" s="62">
        <v>19</v>
      </c>
      <c r="D15" s="15" t="s">
        <v>315</v>
      </c>
      <c r="E15" s="63" t="s">
        <v>27</v>
      </c>
      <c r="F15" s="46" t="s">
        <v>330</v>
      </c>
      <c r="G15" s="36" t="s">
        <v>0</v>
      </c>
      <c r="H15" s="47">
        <v>200762</v>
      </c>
      <c r="I15" s="47">
        <v>104852</v>
      </c>
      <c r="J15" s="47">
        <v>95910</v>
      </c>
      <c r="K15" s="47">
        <v>21122</v>
      </c>
      <c r="L15" s="47">
        <v>10799</v>
      </c>
      <c r="M15" s="47">
        <v>10323</v>
      </c>
      <c r="N15" s="47">
        <v>159984</v>
      </c>
      <c r="O15" s="47">
        <v>88125</v>
      </c>
      <c r="P15" s="47">
        <v>71859</v>
      </c>
      <c r="Q15" s="29">
        <v>915</v>
      </c>
      <c r="R15" s="29">
        <v>956</v>
      </c>
      <c r="S15" s="30">
        <v>89.06</v>
      </c>
      <c r="T15" s="30">
        <v>93.7</v>
      </c>
      <c r="U15" s="30">
        <v>83.96</v>
      </c>
    </row>
    <row r="16" spans="1:21" x14ac:dyDescent="0.25">
      <c r="A16" s="15" t="s">
        <v>353</v>
      </c>
      <c r="C16" s="62">
        <v>19</v>
      </c>
      <c r="D16" s="15" t="s">
        <v>315</v>
      </c>
      <c r="E16" s="62" t="s">
        <v>15</v>
      </c>
      <c r="F16" s="26" t="s">
        <v>329</v>
      </c>
      <c r="G16" s="27" t="s">
        <v>5</v>
      </c>
      <c r="H16" s="47">
        <v>199758</v>
      </c>
      <c r="I16" s="47">
        <v>104966</v>
      </c>
      <c r="J16" s="47">
        <v>94792</v>
      </c>
      <c r="K16" s="47">
        <v>22028</v>
      </c>
      <c r="L16" s="47">
        <v>11335</v>
      </c>
      <c r="M16" s="47">
        <v>10693</v>
      </c>
      <c r="N16" s="47">
        <v>145229</v>
      </c>
      <c r="O16" s="47">
        <v>79076</v>
      </c>
      <c r="P16" s="47">
        <v>66153</v>
      </c>
      <c r="Q16" s="29">
        <v>903</v>
      </c>
      <c r="R16" s="29">
        <v>943</v>
      </c>
      <c r="S16" s="30">
        <v>81.709999999999994</v>
      </c>
      <c r="T16" s="30">
        <v>84.45</v>
      </c>
      <c r="U16" s="30">
        <v>78.66</v>
      </c>
    </row>
    <row r="17" spans="1:21" x14ac:dyDescent="0.25">
      <c r="A17" s="15" t="s">
        <v>345</v>
      </c>
      <c r="C17" s="62">
        <v>19</v>
      </c>
      <c r="D17" s="15" t="s">
        <v>315</v>
      </c>
      <c r="E17" s="65" t="s">
        <v>41</v>
      </c>
      <c r="F17" s="26" t="s">
        <v>328</v>
      </c>
      <c r="G17" s="27" t="s">
        <v>5</v>
      </c>
      <c r="H17" s="47">
        <v>181182</v>
      </c>
      <c r="I17" s="47">
        <v>91583</v>
      </c>
      <c r="J17" s="47">
        <v>89599</v>
      </c>
      <c r="K17" s="47">
        <v>13663</v>
      </c>
      <c r="L17" s="47">
        <v>7095</v>
      </c>
      <c r="M17" s="47">
        <v>6568</v>
      </c>
      <c r="N17" s="47">
        <v>147565</v>
      </c>
      <c r="O17" s="47">
        <v>76746</v>
      </c>
      <c r="P17" s="47">
        <v>70819</v>
      </c>
      <c r="Q17" s="29">
        <v>978</v>
      </c>
      <c r="R17" s="29">
        <v>926</v>
      </c>
      <c r="S17" s="30">
        <v>88.09</v>
      </c>
      <c r="T17" s="30">
        <v>90.84</v>
      </c>
      <c r="U17" s="30">
        <v>85.29</v>
      </c>
    </row>
    <row r="18" spans="1:21" x14ac:dyDescent="0.25">
      <c r="A18" s="15" t="s">
        <v>315</v>
      </c>
      <c r="C18" s="62">
        <v>19</v>
      </c>
      <c r="D18" s="15" t="s">
        <v>315</v>
      </c>
      <c r="E18" s="65" t="s">
        <v>41</v>
      </c>
      <c r="F18" s="26" t="s">
        <v>327</v>
      </c>
      <c r="G18" s="27" t="s">
        <v>5</v>
      </c>
      <c r="H18" s="47">
        <v>175474</v>
      </c>
      <c r="I18" s="47">
        <v>90810</v>
      </c>
      <c r="J18" s="47">
        <v>84664</v>
      </c>
      <c r="K18" s="47">
        <v>13049</v>
      </c>
      <c r="L18" s="47">
        <v>6741</v>
      </c>
      <c r="M18" s="47">
        <v>6308</v>
      </c>
      <c r="N18" s="47">
        <v>137367</v>
      </c>
      <c r="O18" s="47">
        <v>74561</v>
      </c>
      <c r="P18" s="47">
        <v>62806</v>
      </c>
      <c r="Q18" s="29">
        <v>932</v>
      </c>
      <c r="R18" s="29">
        <v>936</v>
      </c>
      <c r="S18" s="30">
        <v>84.57</v>
      </c>
      <c r="T18" s="30">
        <v>88.69</v>
      </c>
      <c r="U18" s="30">
        <v>80.150000000000006</v>
      </c>
    </row>
    <row r="19" spans="1:21" x14ac:dyDescent="0.25">
      <c r="A19" s="15" t="s">
        <v>302</v>
      </c>
      <c r="C19" s="62">
        <v>19</v>
      </c>
      <c r="D19" s="15" t="s">
        <v>315</v>
      </c>
      <c r="E19" s="63" t="s">
        <v>123</v>
      </c>
      <c r="F19" s="46" t="s">
        <v>326</v>
      </c>
      <c r="G19" s="36" t="s">
        <v>0</v>
      </c>
      <c r="H19" s="47">
        <v>169127</v>
      </c>
      <c r="I19" s="47">
        <v>85362</v>
      </c>
      <c r="J19" s="47">
        <v>83765</v>
      </c>
      <c r="K19" s="47">
        <v>14365</v>
      </c>
      <c r="L19" s="47">
        <v>7259</v>
      </c>
      <c r="M19" s="47">
        <v>7106</v>
      </c>
      <c r="N19" s="47">
        <v>139303</v>
      </c>
      <c r="O19" s="47">
        <v>72948</v>
      </c>
      <c r="P19" s="47">
        <v>66355</v>
      </c>
      <c r="Q19" s="29">
        <v>981</v>
      </c>
      <c r="R19" s="29">
        <v>979</v>
      </c>
      <c r="S19" s="30">
        <v>90.01</v>
      </c>
      <c r="T19" s="30">
        <v>93.4</v>
      </c>
      <c r="U19" s="30">
        <v>86.56</v>
      </c>
    </row>
    <row r="20" spans="1:21" x14ac:dyDescent="0.25">
      <c r="A20" s="15" t="s">
        <v>292</v>
      </c>
      <c r="C20" s="62">
        <v>19</v>
      </c>
      <c r="D20" s="15" t="s">
        <v>315</v>
      </c>
      <c r="E20" s="62" t="s">
        <v>7</v>
      </c>
      <c r="F20" s="66" t="s">
        <v>325</v>
      </c>
      <c r="G20" s="27" t="s">
        <v>5</v>
      </c>
      <c r="H20" s="47">
        <v>169013</v>
      </c>
      <c r="I20" s="47">
        <v>85226</v>
      </c>
      <c r="J20" s="47">
        <v>83787</v>
      </c>
      <c r="K20" s="47">
        <v>14522</v>
      </c>
      <c r="L20" s="47">
        <v>7441</v>
      </c>
      <c r="M20" s="47">
        <v>7081</v>
      </c>
      <c r="N20" s="47">
        <v>132911</v>
      </c>
      <c r="O20" s="47">
        <v>69531</v>
      </c>
      <c r="P20" s="47">
        <v>63380</v>
      </c>
      <c r="Q20" s="29">
        <v>983</v>
      </c>
      <c r="R20" s="29">
        <v>952</v>
      </c>
      <c r="S20" s="30">
        <v>86.03</v>
      </c>
      <c r="T20" s="30">
        <v>89.39</v>
      </c>
      <c r="U20" s="30">
        <v>82.63</v>
      </c>
    </row>
    <row r="21" spans="1:21" x14ac:dyDescent="0.25">
      <c r="A21" s="15" t="s">
        <v>282</v>
      </c>
      <c r="C21" s="62">
        <v>19</v>
      </c>
      <c r="D21" s="15" t="s">
        <v>315</v>
      </c>
      <c r="E21" s="62" t="s">
        <v>25</v>
      </c>
      <c r="F21" s="26" t="s">
        <v>324</v>
      </c>
      <c r="G21" s="27" t="s">
        <v>5</v>
      </c>
      <c r="H21" s="47">
        <v>164593</v>
      </c>
      <c r="I21" s="47">
        <v>82466</v>
      </c>
      <c r="J21" s="47">
        <v>82127</v>
      </c>
      <c r="K21" s="47">
        <v>10349</v>
      </c>
      <c r="L21" s="47">
        <v>5257</v>
      </c>
      <c r="M21" s="47">
        <v>5092</v>
      </c>
      <c r="N21" s="47">
        <v>141381</v>
      </c>
      <c r="O21" s="47">
        <v>72831</v>
      </c>
      <c r="P21" s="47">
        <v>68550</v>
      </c>
      <c r="Q21" s="29">
        <v>996</v>
      </c>
      <c r="R21" s="29">
        <v>969</v>
      </c>
      <c r="S21" s="30">
        <v>91.66</v>
      </c>
      <c r="T21" s="30">
        <v>94.33</v>
      </c>
      <c r="U21" s="30">
        <v>88.99</v>
      </c>
    </row>
    <row r="22" spans="1:21" x14ac:dyDescent="0.25">
      <c r="A22" s="15" t="s">
        <v>242</v>
      </c>
      <c r="C22" s="62">
        <v>19</v>
      </c>
      <c r="D22" s="15" t="s">
        <v>315</v>
      </c>
      <c r="E22" s="65" t="s">
        <v>48</v>
      </c>
      <c r="F22" s="26" t="s">
        <v>323</v>
      </c>
      <c r="G22" s="27" t="s">
        <v>5</v>
      </c>
      <c r="H22" s="47">
        <v>144891</v>
      </c>
      <c r="I22" s="47">
        <v>73491</v>
      </c>
      <c r="J22" s="47">
        <v>71400</v>
      </c>
      <c r="K22" s="47">
        <v>12578</v>
      </c>
      <c r="L22" s="47">
        <v>6495</v>
      </c>
      <c r="M22" s="47">
        <v>6083</v>
      </c>
      <c r="N22" s="47">
        <v>114952</v>
      </c>
      <c r="O22" s="47">
        <v>60499</v>
      </c>
      <c r="P22" s="47">
        <v>54453</v>
      </c>
      <c r="Q22" s="29">
        <v>972</v>
      </c>
      <c r="R22" s="29">
        <v>937</v>
      </c>
      <c r="S22" s="30">
        <v>86.88</v>
      </c>
      <c r="T22" s="30">
        <v>90.3</v>
      </c>
      <c r="U22" s="30">
        <v>83.37</v>
      </c>
    </row>
    <row r="23" spans="1:21" x14ac:dyDescent="0.25">
      <c r="A23" s="15" t="s">
        <v>211</v>
      </c>
      <c r="C23" s="62">
        <v>19</v>
      </c>
      <c r="D23" s="15" t="s">
        <v>315</v>
      </c>
      <c r="E23" s="65" t="s">
        <v>60</v>
      </c>
      <c r="F23" s="46" t="s">
        <v>322</v>
      </c>
      <c r="G23" s="36" t="s">
        <v>0</v>
      </c>
      <c r="H23" s="47">
        <v>138036</v>
      </c>
      <c r="I23" s="47">
        <v>70734</v>
      </c>
      <c r="J23" s="47">
        <v>67302</v>
      </c>
      <c r="K23" s="47">
        <v>10760</v>
      </c>
      <c r="L23" s="47">
        <v>5502</v>
      </c>
      <c r="M23" s="47">
        <v>5258</v>
      </c>
      <c r="N23" s="47">
        <v>111073</v>
      </c>
      <c r="O23" s="47">
        <v>60272</v>
      </c>
      <c r="P23" s="47">
        <v>50801</v>
      </c>
      <c r="Q23" s="29">
        <v>951</v>
      </c>
      <c r="R23" s="29">
        <v>956</v>
      </c>
      <c r="S23" s="30">
        <v>87.27</v>
      </c>
      <c r="T23" s="30">
        <v>92.4</v>
      </c>
      <c r="U23" s="30">
        <v>81.88</v>
      </c>
    </row>
    <row r="24" spans="1:21" x14ac:dyDescent="0.25">
      <c r="A24" s="15" t="s">
        <v>172</v>
      </c>
      <c r="C24" s="62">
        <v>19</v>
      </c>
      <c r="D24" s="15" t="s">
        <v>315</v>
      </c>
      <c r="E24" s="65" t="s">
        <v>41</v>
      </c>
      <c r="F24" s="26" t="s">
        <v>321</v>
      </c>
      <c r="G24" s="27" t="s">
        <v>5</v>
      </c>
      <c r="H24" s="47">
        <v>132855</v>
      </c>
      <c r="I24" s="47">
        <v>67135</v>
      </c>
      <c r="J24" s="47">
        <v>65720</v>
      </c>
      <c r="K24" s="47">
        <v>9829</v>
      </c>
      <c r="L24" s="47">
        <v>4978</v>
      </c>
      <c r="M24" s="47">
        <v>4851</v>
      </c>
      <c r="N24" s="47">
        <v>111895</v>
      </c>
      <c r="O24" s="47">
        <v>58405</v>
      </c>
      <c r="P24" s="47">
        <v>53490</v>
      </c>
      <c r="Q24" s="29">
        <v>979</v>
      </c>
      <c r="R24" s="29">
        <v>974</v>
      </c>
      <c r="S24" s="30">
        <v>90.95</v>
      </c>
      <c r="T24" s="30">
        <v>93.96</v>
      </c>
      <c r="U24" s="30">
        <v>87.88</v>
      </c>
    </row>
    <row r="25" spans="1:21" x14ac:dyDescent="0.25">
      <c r="A25" s="15" t="s">
        <v>125</v>
      </c>
      <c r="C25" s="62">
        <v>19</v>
      </c>
      <c r="D25" s="15" t="s">
        <v>315</v>
      </c>
      <c r="E25" s="62" t="s">
        <v>71</v>
      </c>
      <c r="F25" s="26" t="s">
        <v>320</v>
      </c>
      <c r="G25" s="27" t="s">
        <v>5</v>
      </c>
      <c r="H25" s="47">
        <v>132016</v>
      </c>
      <c r="I25" s="47">
        <v>65839</v>
      </c>
      <c r="J25" s="47">
        <v>66177</v>
      </c>
      <c r="K25" s="47">
        <v>7382</v>
      </c>
      <c r="L25" s="47">
        <v>3862</v>
      </c>
      <c r="M25" s="47">
        <v>3520</v>
      </c>
      <c r="N25" s="47">
        <v>116126</v>
      </c>
      <c r="O25" s="47">
        <v>59536</v>
      </c>
      <c r="P25" s="47">
        <v>56590</v>
      </c>
      <c r="Q25" s="29">
        <v>1005</v>
      </c>
      <c r="R25" s="29">
        <v>911</v>
      </c>
      <c r="S25" s="30">
        <v>93.17</v>
      </c>
      <c r="T25" s="30">
        <v>96.06</v>
      </c>
      <c r="U25" s="30">
        <v>90.32</v>
      </c>
    </row>
    <row r="26" spans="1:21" x14ac:dyDescent="0.25">
      <c r="A26" s="15" t="s">
        <v>92</v>
      </c>
      <c r="C26" s="62">
        <v>19</v>
      </c>
      <c r="D26" s="15" t="s">
        <v>315</v>
      </c>
      <c r="E26" s="62" t="s">
        <v>7</v>
      </c>
      <c r="F26" s="26" t="s">
        <v>319</v>
      </c>
      <c r="G26" s="27" t="s">
        <v>5</v>
      </c>
      <c r="H26" s="47">
        <v>127342</v>
      </c>
      <c r="I26" s="47">
        <v>64898</v>
      </c>
      <c r="J26" s="47">
        <v>62444</v>
      </c>
      <c r="K26" s="47">
        <v>10545</v>
      </c>
      <c r="L26" s="47">
        <v>5422</v>
      </c>
      <c r="M26" s="47">
        <v>5123</v>
      </c>
      <c r="N26" s="47">
        <v>104139</v>
      </c>
      <c r="O26" s="47">
        <v>54714</v>
      </c>
      <c r="P26" s="47">
        <v>49425</v>
      </c>
      <c r="Q26" s="29">
        <v>962</v>
      </c>
      <c r="R26" s="29">
        <v>945</v>
      </c>
      <c r="S26" s="30">
        <v>89.16</v>
      </c>
      <c r="T26" s="30">
        <v>91.99</v>
      </c>
      <c r="U26" s="30">
        <v>86.22</v>
      </c>
    </row>
    <row r="27" spans="1:21" x14ac:dyDescent="0.25">
      <c r="A27" s="18" t="s">
        <v>88</v>
      </c>
      <c r="C27" s="62">
        <v>19</v>
      </c>
      <c r="D27" s="15" t="s">
        <v>315</v>
      </c>
      <c r="E27" s="65" t="s">
        <v>101</v>
      </c>
      <c r="F27" s="26" t="s">
        <v>318</v>
      </c>
      <c r="G27" s="27" t="s">
        <v>5</v>
      </c>
      <c r="H27" s="47">
        <v>126894</v>
      </c>
      <c r="I27" s="47">
        <v>65334</v>
      </c>
      <c r="J27" s="47">
        <v>61560</v>
      </c>
      <c r="K27" s="47">
        <v>12116</v>
      </c>
      <c r="L27" s="47">
        <v>6221</v>
      </c>
      <c r="M27" s="47">
        <v>5895</v>
      </c>
      <c r="N27" s="47">
        <v>93578</v>
      </c>
      <c r="O27" s="47">
        <v>52118</v>
      </c>
      <c r="P27" s="47">
        <v>41460</v>
      </c>
      <c r="Q27" s="29">
        <v>942</v>
      </c>
      <c r="R27" s="29">
        <v>948</v>
      </c>
      <c r="S27" s="30">
        <v>81.53</v>
      </c>
      <c r="T27" s="30">
        <v>88.17</v>
      </c>
      <c r="U27" s="30">
        <v>74.48</v>
      </c>
    </row>
    <row r="28" spans="1:21" x14ac:dyDescent="0.25">
      <c r="A28" s="15" t="s">
        <v>66</v>
      </c>
      <c r="C28" s="62">
        <v>19</v>
      </c>
      <c r="D28" s="15" t="s">
        <v>315</v>
      </c>
      <c r="E28" s="62" t="s">
        <v>57</v>
      </c>
      <c r="F28" s="26" t="s">
        <v>317</v>
      </c>
      <c r="G28" s="27" t="s">
        <v>5</v>
      </c>
      <c r="H28" s="47">
        <v>122875</v>
      </c>
      <c r="I28" s="47">
        <v>62734</v>
      </c>
      <c r="J28" s="47">
        <v>60141</v>
      </c>
      <c r="K28" s="47">
        <v>16299</v>
      </c>
      <c r="L28" s="47">
        <v>8334</v>
      </c>
      <c r="M28" s="47">
        <v>7965</v>
      </c>
      <c r="N28" s="47">
        <v>80689</v>
      </c>
      <c r="O28" s="47">
        <v>43428</v>
      </c>
      <c r="P28" s="47">
        <v>37261</v>
      </c>
      <c r="Q28" s="29">
        <v>959</v>
      </c>
      <c r="R28" s="29">
        <v>956</v>
      </c>
      <c r="S28" s="30">
        <v>75.709999999999994</v>
      </c>
      <c r="T28" s="30">
        <v>79.83</v>
      </c>
      <c r="U28" s="30">
        <v>71.41</v>
      </c>
    </row>
    <row r="29" spans="1:21" x14ac:dyDescent="0.25">
      <c r="A29" s="15" t="s">
        <v>12</v>
      </c>
      <c r="C29" s="62">
        <v>19</v>
      </c>
      <c r="D29" s="15" t="s">
        <v>315</v>
      </c>
      <c r="E29" s="65" t="s">
        <v>48</v>
      </c>
      <c r="F29" s="46" t="s">
        <v>316</v>
      </c>
      <c r="G29" s="36" t="s">
        <v>0</v>
      </c>
      <c r="H29" s="47">
        <v>110668</v>
      </c>
      <c r="I29" s="47">
        <v>56416</v>
      </c>
      <c r="J29" s="47">
        <v>54252</v>
      </c>
      <c r="K29" s="47">
        <v>8452</v>
      </c>
      <c r="L29" s="47">
        <v>4387</v>
      </c>
      <c r="M29" s="47">
        <v>4065</v>
      </c>
      <c r="N29" s="47">
        <v>92253</v>
      </c>
      <c r="O29" s="47">
        <v>48799</v>
      </c>
      <c r="P29" s="47">
        <v>43454</v>
      </c>
      <c r="Q29" s="29">
        <v>962</v>
      </c>
      <c r="R29" s="29">
        <v>927</v>
      </c>
      <c r="S29" s="30">
        <v>90.25</v>
      </c>
      <c r="T29" s="30">
        <v>93.79</v>
      </c>
      <c r="U29" s="30">
        <v>86.58</v>
      </c>
    </row>
    <row r="30" spans="1:21" x14ac:dyDescent="0.25">
      <c r="A30" s="15" t="s">
        <v>8</v>
      </c>
      <c r="C30" s="62">
        <v>19</v>
      </c>
      <c r="D30" s="15" t="s">
        <v>315</v>
      </c>
      <c r="E30" s="62" t="s">
        <v>2</v>
      </c>
      <c r="F30" s="26" t="s">
        <v>314</v>
      </c>
      <c r="G30" s="27" t="s">
        <v>5</v>
      </c>
      <c r="H30" s="47">
        <v>106760</v>
      </c>
      <c r="I30" s="47">
        <v>53803</v>
      </c>
      <c r="J30" s="47">
        <v>52957</v>
      </c>
      <c r="K30" s="47">
        <v>7910</v>
      </c>
      <c r="L30" s="47">
        <v>4053</v>
      </c>
      <c r="M30" s="47">
        <v>3857</v>
      </c>
      <c r="N30" s="47">
        <v>90698</v>
      </c>
      <c r="O30" s="47">
        <v>47016</v>
      </c>
      <c r="P30" s="47">
        <v>43682</v>
      </c>
      <c r="Q30" s="29">
        <v>984</v>
      </c>
      <c r="R30" s="29">
        <v>952</v>
      </c>
      <c r="S30" s="30">
        <v>91.75</v>
      </c>
      <c r="T30" s="30">
        <v>94.5</v>
      </c>
      <c r="U30" s="30">
        <v>88.97</v>
      </c>
    </row>
    <row r="31" spans="1:21" x14ac:dyDescent="0.25">
      <c r="A31" s="19" t="s">
        <v>3</v>
      </c>
    </row>
  </sheetData>
  <dataValidations count="1">
    <dataValidation type="list" allowBlank="1" showInputMessage="1" showErrorMessage="1" sqref="B2" xr:uid="{A13EBCC6-B641-40E0-B70A-86F0E2B7B48A}">
      <formula1>$A$2:$A$31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Info</vt:lpstr>
      <vt:lpstr>DATA</vt:lpstr>
      <vt:lpstr>Macro</vt:lpstr>
      <vt:lpstr>Macro!Criteria</vt:lpstr>
      <vt:lpstr>Macro!Extract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SHANTI</dc:creator>
  <cp:lastModifiedBy>adarsh</cp:lastModifiedBy>
  <dcterms:created xsi:type="dcterms:W3CDTF">2015-12-24T10:59:07Z</dcterms:created>
  <dcterms:modified xsi:type="dcterms:W3CDTF">2020-08-13T12:50:57Z</dcterms:modified>
</cp:coreProperties>
</file>